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vera\Desktop\"/>
    </mc:Choice>
  </mc:AlternateContent>
  <xr:revisionPtr revIDLastSave="0" documentId="13_ncr:1_{378E1967-F0EF-4AA7-B7AF-715211DBA379}" xr6:coauthVersionLast="47" xr6:coauthVersionMax="47" xr10:uidLastSave="{00000000-0000-0000-0000-000000000000}"/>
  <bookViews>
    <workbookView xWindow="23880" yWindow="-120" windowWidth="19440" windowHeight="15000" xr2:uid="{87D53F5E-98E2-4210-9DE2-408A52BF5EFB}"/>
  </bookViews>
  <sheets>
    <sheet name="CALCULO" sheetId="1" r:id="rId1"/>
    <sheet name="PUNT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22" i="2" l="1"/>
  <c r="D222" i="2" s="1"/>
  <c r="A223" i="2"/>
  <c r="A224" i="2"/>
  <c r="A225" i="2"/>
  <c r="A226" i="2"/>
  <c r="A227" i="2"/>
  <c r="A228" i="2"/>
  <c r="A229" i="2"/>
  <c r="A230" i="2"/>
  <c r="A231" i="2"/>
  <c r="A232" i="2"/>
  <c r="A233" i="2"/>
  <c r="A234" i="2"/>
  <c r="D234" i="2" s="1"/>
  <c r="A235" i="2"/>
  <c r="A236" i="2"/>
  <c r="A237" i="2"/>
  <c r="A238" i="2"/>
  <c r="A239" i="2"/>
  <c r="A240" i="2"/>
  <c r="A241" i="2"/>
  <c r="A242" i="2"/>
  <c r="A243" i="2"/>
  <c r="A244" i="2"/>
  <c r="A245" i="2"/>
  <c r="A246" i="2"/>
  <c r="D246" i="2" s="1"/>
  <c r="A247" i="2"/>
  <c r="A248" i="2"/>
  <c r="A249" i="2"/>
  <c r="A250" i="2"/>
  <c r="A251" i="2"/>
  <c r="A252" i="2"/>
  <c r="A253" i="2"/>
  <c r="A254" i="2"/>
  <c r="A255" i="2"/>
  <c r="A256" i="2"/>
  <c r="A257" i="2"/>
  <c r="A258" i="2"/>
  <c r="D258" i="2" s="1"/>
  <c r="A259" i="2"/>
  <c r="A260" i="2"/>
  <c r="A261" i="2"/>
  <c r="A262" i="2"/>
  <c r="A263" i="2"/>
  <c r="A264" i="2"/>
  <c r="A265" i="2"/>
  <c r="A266" i="2"/>
  <c r="A267" i="2"/>
  <c r="A268" i="2"/>
  <c r="A269" i="2"/>
  <c r="A270" i="2"/>
  <c r="D270" i="2" s="1"/>
  <c r="A271" i="2"/>
  <c r="A272" i="2"/>
  <c r="A273" i="2"/>
  <c r="A274" i="2"/>
  <c r="A275" i="2"/>
  <c r="A276" i="2"/>
  <c r="A277" i="2"/>
  <c r="A278" i="2"/>
  <c r="A279" i="2"/>
  <c r="A280" i="2"/>
  <c r="A281" i="2"/>
  <c r="A282" i="2"/>
  <c r="D282" i="2" s="1"/>
  <c r="A283" i="2"/>
  <c r="A284" i="2"/>
  <c r="A285" i="2"/>
  <c r="A286" i="2"/>
  <c r="A287" i="2"/>
  <c r="A288" i="2"/>
  <c r="A289" i="2"/>
  <c r="A290" i="2"/>
  <c r="A291" i="2"/>
  <c r="A292" i="2"/>
  <c r="A293" i="2"/>
  <c r="A294" i="2"/>
  <c r="D294" i="2" s="1"/>
  <c r="A295" i="2"/>
  <c r="A296" i="2"/>
  <c r="A297" i="2"/>
  <c r="A298" i="2"/>
  <c r="A299" i="2"/>
  <c r="A300" i="2"/>
  <c r="A301" i="2"/>
  <c r="A302" i="2"/>
  <c r="A303" i="2"/>
  <c r="A304" i="2"/>
  <c r="A305" i="2"/>
  <c r="A306" i="2"/>
  <c r="D306" i="2" s="1"/>
  <c r="A307" i="2"/>
  <c r="A308" i="2"/>
  <c r="A309" i="2"/>
  <c r="A310" i="2"/>
  <c r="A311" i="2"/>
  <c r="A312" i="2"/>
  <c r="A313" i="2"/>
  <c r="A314" i="2"/>
  <c r="A315" i="2"/>
  <c r="A316" i="2"/>
  <c r="A317" i="2"/>
  <c r="A318" i="2"/>
  <c r="D318" i="2" s="1"/>
  <c r="A319" i="2"/>
  <c r="A320" i="2"/>
  <c r="A321" i="2"/>
  <c r="A322" i="2"/>
  <c r="A323" i="2"/>
  <c r="A324" i="2"/>
  <c r="A325" i="2"/>
  <c r="A326" i="2"/>
  <c r="A327" i="2"/>
  <c r="A328" i="2"/>
  <c r="A329" i="2"/>
  <c r="A330" i="2"/>
  <c r="D330" i="2" s="1"/>
  <c r="A331" i="2"/>
  <c r="A332" i="2"/>
  <c r="A333" i="2"/>
  <c r="A334" i="2"/>
  <c r="A335" i="2"/>
  <c r="A336" i="2"/>
  <c r="A337" i="2"/>
  <c r="A338" i="2"/>
  <c r="A339" i="2"/>
  <c r="A340" i="2"/>
  <c r="A341" i="2"/>
  <c r="A342" i="2"/>
  <c r="D342" i="2" s="1"/>
  <c r="A343" i="2"/>
  <c r="A344" i="2"/>
  <c r="A345" i="2"/>
  <c r="A346" i="2"/>
  <c r="A347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C223" i="2"/>
  <c r="C224" i="2"/>
  <c r="C225" i="2"/>
  <c r="C226" i="2"/>
  <c r="C227" i="2"/>
  <c r="C228" i="2"/>
  <c r="C229" i="2"/>
  <c r="C230" i="2"/>
  <c r="C231" i="2"/>
  <c r="C232" i="2"/>
  <c r="C233" i="2"/>
  <c r="C235" i="2"/>
  <c r="C236" i="2"/>
  <c r="C237" i="2"/>
  <c r="C238" i="2"/>
  <c r="C239" i="2"/>
  <c r="C240" i="2"/>
  <c r="C241" i="2"/>
  <c r="C242" i="2"/>
  <c r="C243" i="2"/>
  <c r="C244" i="2"/>
  <c r="C245" i="2"/>
  <c r="C247" i="2"/>
  <c r="C248" i="2"/>
  <c r="C249" i="2"/>
  <c r="C250" i="2"/>
  <c r="C251" i="2"/>
  <c r="C252" i="2"/>
  <c r="C253" i="2"/>
  <c r="C254" i="2"/>
  <c r="C255" i="2"/>
  <c r="C256" i="2"/>
  <c r="C257" i="2"/>
  <c r="C259" i="2"/>
  <c r="C260" i="2"/>
  <c r="C261" i="2"/>
  <c r="C262" i="2"/>
  <c r="C263" i="2"/>
  <c r="C264" i="2"/>
  <c r="C265" i="2"/>
  <c r="C266" i="2"/>
  <c r="C267" i="2"/>
  <c r="C268" i="2"/>
  <c r="C269" i="2"/>
  <c r="C271" i="2"/>
  <c r="C272" i="2"/>
  <c r="C273" i="2"/>
  <c r="C274" i="2"/>
  <c r="C275" i="2"/>
  <c r="C276" i="2"/>
  <c r="C277" i="2"/>
  <c r="C278" i="2"/>
  <c r="C279" i="2"/>
  <c r="C280" i="2"/>
  <c r="C281" i="2"/>
  <c r="C283" i="2"/>
  <c r="C284" i="2"/>
  <c r="C285" i="2"/>
  <c r="C286" i="2"/>
  <c r="C287" i="2"/>
  <c r="C288" i="2"/>
  <c r="C289" i="2"/>
  <c r="C290" i="2"/>
  <c r="C291" i="2"/>
  <c r="C292" i="2"/>
  <c r="C293" i="2"/>
  <c r="C295" i="2"/>
  <c r="C296" i="2"/>
  <c r="C297" i="2"/>
  <c r="C298" i="2"/>
  <c r="C299" i="2"/>
  <c r="C300" i="2"/>
  <c r="C301" i="2"/>
  <c r="C302" i="2"/>
  <c r="C303" i="2"/>
  <c r="C304" i="2"/>
  <c r="C305" i="2"/>
  <c r="C307" i="2"/>
  <c r="C308" i="2"/>
  <c r="C309" i="2"/>
  <c r="C310" i="2"/>
  <c r="C311" i="2"/>
  <c r="C312" i="2"/>
  <c r="C313" i="2"/>
  <c r="C314" i="2"/>
  <c r="C315" i="2"/>
  <c r="C316" i="2"/>
  <c r="C317" i="2"/>
  <c r="C319" i="2"/>
  <c r="C320" i="2"/>
  <c r="C321" i="2"/>
  <c r="C322" i="2"/>
  <c r="C323" i="2"/>
  <c r="C324" i="2"/>
  <c r="C325" i="2"/>
  <c r="C326" i="2"/>
  <c r="C327" i="2"/>
  <c r="C328" i="2"/>
  <c r="C329" i="2"/>
  <c r="C331" i="2"/>
  <c r="C332" i="2"/>
  <c r="C333" i="2"/>
  <c r="C334" i="2"/>
  <c r="C335" i="2"/>
  <c r="C336" i="2"/>
  <c r="C337" i="2"/>
  <c r="C338" i="2"/>
  <c r="C339" i="2"/>
  <c r="C340" i="2"/>
  <c r="C341" i="2"/>
  <c r="C343" i="2"/>
  <c r="C344" i="2"/>
  <c r="C345" i="2"/>
  <c r="C346" i="2"/>
  <c r="C347" i="2"/>
  <c r="D223" i="2"/>
  <c r="D224" i="2"/>
  <c r="D225" i="2"/>
  <c r="D226" i="2"/>
  <c r="D227" i="2"/>
  <c r="D228" i="2"/>
  <c r="D229" i="2"/>
  <c r="D230" i="2"/>
  <c r="D231" i="2"/>
  <c r="D232" i="2"/>
  <c r="D233" i="2"/>
  <c r="D235" i="2"/>
  <c r="D236" i="2"/>
  <c r="D237" i="2"/>
  <c r="D238" i="2"/>
  <c r="D239" i="2"/>
  <c r="D240" i="2"/>
  <c r="D241" i="2"/>
  <c r="D242" i="2"/>
  <c r="D243" i="2"/>
  <c r="D244" i="2"/>
  <c r="D245" i="2"/>
  <c r="D247" i="2"/>
  <c r="D248" i="2"/>
  <c r="D249" i="2"/>
  <c r="D250" i="2"/>
  <c r="D251" i="2"/>
  <c r="D252" i="2"/>
  <c r="D253" i="2"/>
  <c r="D254" i="2"/>
  <c r="D255" i="2"/>
  <c r="D256" i="2"/>
  <c r="D257" i="2"/>
  <c r="D259" i="2"/>
  <c r="D260" i="2"/>
  <c r="D261" i="2"/>
  <c r="D262" i="2"/>
  <c r="D263" i="2"/>
  <c r="D264" i="2"/>
  <c r="D265" i="2"/>
  <c r="D266" i="2"/>
  <c r="D267" i="2"/>
  <c r="D268" i="2"/>
  <c r="D269" i="2"/>
  <c r="D271" i="2"/>
  <c r="D272" i="2"/>
  <c r="D273" i="2"/>
  <c r="D274" i="2"/>
  <c r="D275" i="2"/>
  <c r="D276" i="2"/>
  <c r="D277" i="2"/>
  <c r="D278" i="2"/>
  <c r="D279" i="2"/>
  <c r="D280" i="2"/>
  <c r="D281" i="2"/>
  <c r="D283" i="2"/>
  <c r="D284" i="2"/>
  <c r="D285" i="2"/>
  <c r="D286" i="2"/>
  <c r="D287" i="2"/>
  <c r="D288" i="2"/>
  <c r="D289" i="2"/>
  <c r="D290" i="2"/>
  <c r="D291" i="2"/>
  <c r="D292" i="2"/>
  <c r="D293" i="2"/>
  <c r="D295" i="2"/>
  <c r="D296" i="2"/>
  <c r="D297" i="2"/>
  <c r="D298" i="2"/>
  <c r="D299" i="2"/>
  <c r="D300" i="2"/>
  <c r="D301" i="2"/>
  <c r="D302" i="2"/>
  <c r="D303" i="2"/>
  <c r="D304" i="2"/>
  <c r="D305" i="2"/>
  <c r="D307" i="2"/>
  <c r="D308" i="2"/>
  <c r="D309" i="2"/>
  <c r="D310" i="2"/>
  <c r="D311" i="2"/>
  <c r="D312" i="2"/>
  <c r="D313" i="2"/>
  <c r="D314" i="2"/>
  <c r="D315" i="2"/>
  <c r="D316" i="2"/>
  <c r="D317" i="2"/>
  <c r="D319" i="2"/>
  <c r="D320" i="2"/>
  <c r="D321" i="2"/>
  <c r="D322" i="2"/>
  <c r="D323" i="2"/>
  <c r="D324" i="2"/>
  <c r="D325" i="2"/>
  <c r="D326" i="2"/>
  <c r="D327" i="2"/>
  <c r="D328" i="2"/>
  <c r="D329" i="2"/>
  <c r="D331" i="2"/>
  <c r="D332" i="2"/>
  <c r="D333" i="2"/>
  <c r="D334" i="2"/>
  <c r="D335" i="2"/>
  <c r="D336" i="2"/>
  <c r="D337" i="2"/>
  <c r="D338" i="2"/>
  <c r="D339" i="2"/>
  <c r="D340" i="2"/>
  <c r="D341" i="2"/>
  <c r="D343" i="2"/>
  <c r="D344" i="2"/>
  <c r="D345" i="2"/>
  <c r="D346" i="2"/>
  <c r="D347" i="2"/>
  <c r="E4" i="1"/>
  <c r="A11" i="1" s="1"/>
  <c r="C342" i="2" l="1"/>
  <c r="C330" i="2"/>
  <c r="C318" i="2"/>
  <c r="C306" i="2"/>
  <c r="C294" i="2"/>
  <c r="C282" i="2"/>
  <c r="C270" i="2"/>
  <c r="C258" i="2"/>
  <c r="C246" i="2"/>
  <c r="C234" i="2"/>
  <c r="C222" i="2"/>
  <c r="B11" i="1"/>
  <c r="A9" i="1"/>
  <c r="C11" i="1"/>
  <c r="K4" i="1" s="1"/>
  <c r="D11" i="1" l="1"/>
  <c r="L4" i="1" s="1"/>
  <c r="C9" i="1"/>
  <c r="M4" i="1" l="1"/>
  <c r="F4" i="1" l="1"/>
  <c r="J4" i="1" s="1"/>
  <c r="G4" i="1" s="1"/>
  <c r="N4" i="1"/>
  <c r="O4" i="1" s="1"/>
  <c r="O6" i="1" l="1"/>
  <c r="I4" i="1"/>
  <c r="Q1" i="1" s="1"/>
  <c r="A1" i="2" l="1"/>
  <c r="D1" i="2" s="1"/>
  <c r="Q2" i="1"/>
  <c r="R1" i="1"/>
  <c r="B1" i="2" l="1"/>
  <c r="C1" i="2" s="1"/>
  <c r="R2" i="1"/>
  <c r="A2" i="2"/>
  <c r="D2" i="2" s="1"/>
  <c r="Q3" i="1"/>
  <c r="A3" i="2" l="1"/>
  <c r="D3" i="2" s="1"/>
  <c r="Q4" i="1"/>
  <c r="B2" i="2"/>
  <c r="C2" i="2" s="1"/>
  <c r="R3" i="1"/>
  <c r="A4" i="2" l="1"/>
  <c r="D4" i="2" s="1"/>
  <c r="Q5" i="1"/>
  <c r="B3" i="2"/>
  <c r="C3" i="2" s="1"/>
  <c r="R4" i="1"/>
  <c r="A5" i="2" l="1"/>
  <c r="D5" i="2" s="1"/>
  <c r="Q6" i="1"/>
  <c r="B4" i="2"/>
  <c r="C4" i="2" s="1"/>
  <c r="R5" i="1"/>
  <c r="A6" i="2" l="1"/>
  <c r="D6" i="2" s="1"/>
  <c r="Q7" i="1"/>
  <c r="B5" i="2"/>
  <c r="C5" i="2" s="1"/>
  <c r="R6" i="1"/>
  <c r="A7" i="2" l="1"/>
  <c r="D7" i="2" s="1"/>
  <c r="Q8" i="1"/>
  <c r="B6" i="2"/>
  <c r="C6" i="2" s="1"/>
  <c r="R7" i="1"/>
  <c r="Q9" i="1" l="1"/>
  <c r="A8" i="2"/>
  <c r="D8" i="2" s="1"/>
  <c r="B7" i="2"/>
  <c r="C7" i="2" s="1"/>
  <c r="R8" i="1"/>
  <c r="A9" i="2" l="1"/>
  <c r="D9" i="2" s="1"/>
  <c r="Q10" i="1"/>
  <c r="B8" i="2"/>
  <c r="C8" i="2" s="1"/>
  <c r="R9" i="1"/>
  <c r="A10" i="2" l="1"/>
  <c r="D10" i="2" s="1"/>
  <c r="Q11" i="1"/>
  <c r="B9" i="2"/>
  <c r="C9" i="2" s="1"/>
  <c r="R10" i="1"/>
  <c r="A11" i="2" l="1"/>
  <c r="D11" i="2" s="1"/>
  <c r="Q12" i="1"/>
  <c r="B10" i="2"/>
  <c r="C10" i="2" s="1"/>
  <c r="R11" i="1"/>
  <c r="A12" i="2" l="1"/>
  <c r="D12" i="2" s="1"/>
  <c r="Q13" i="1"/>
  <c r="B11" i="2"/>
  <c r="C11" i="2" s="1"/>
  <c r="R12" i="1"/>
  <c r="Q14" i="1" l="1"/>
  <c r="A13" i="2"/>
  <c r="D13" i="2" s="1"/>
  <c r="B12" i="2"/>
  <c r="C12" i="2" s="1"/>
  <c r="R13" i="1"/>
  <c r="B13" i="2" l="1"/>
  <c r="C13" i="2" s="1"/>
  <c r="R14" i="1"/>
  <c r="A14" i="2"/>
  <c r="D14" i="2" s="1"/>
  <c r="Q15" i="1"/>
  <c r="B14" i="2" l="1"/>
  <c r="C14" i="2" s="1"/>
  <c r="R15" i="1"/>
  <c r="A15" i="2"/>
  <c r="D15" i="2" s="1"/>
  <c r="Q16" i="1"/>
  <c r="B15" i="2" l="1"/>
  <c r="C15" i="2" s="1"/>
  <c r="R16" i="1"/>
  <c r="Q17" i="1"/>
  <c r="A16" i="2"/>
  <c r="D16" i="2" s="1"/>
  <c r="A17" i="2" l="1"/>
  <c r="D17" i="2" s="1"/>
  <c r="Q18" i="1"/>
  <c r="B16" i="2"/>
  <c r="C16" i="2" s="1"/>
  <c r="R17" i="1"/>
  <c r="A18" i="2" l="1"/>
  <c r="D18" i="2" s="1"/>
  <c r="Q19" i="1"/>
  <c r="R18" i="1"/>
  <c r="B17" i="2"/>
  <c r="C17" i="2" s="1"/>
  <c r="B18" i="2" l="1"/>
  <c r="C18" i="2" s="1"/>
  <c r="R19" i="1"/>
  <c r="A19" i="2"/>
  <c r="Q20" i="1"/>
  <c r="D19" i="2" l="1"/>
  <c r="A20" i="2"/>
  <c r="Q21" i="1"/>
  <c r="R20" i="1"/>
  <c r="B19" i="2"/>
  <c r="C19" i="2" s="1"/>
  <c r="D20" i="2" l="1"/>
  <c r="B20" i="2"/>
  <c r="C20" i="2" s="1"/>
  <c r="R21" i="1"/>
  <c r="A21" i="2"/>
  <c r="Q22" i="1"/>
  <c r="D21" i="2" l="1"/>
  <c r="B21" i="2"/>
  <c r="C21" i="2" s="1"/>
  <c r="R22" i="1"/>
  <c r="A22" i="2"/>
  <c r="Q23" i="1"/>
  <c r="D22" i="2" l="1"/>
  <c r="A23" i="2"/>
  <c r="Q24" i="1"/>
  <c r="B22" i="2"/>
  <c r="C22" i="2" s="1"/>
  <c r="R23" i="1"/>
  <c r="D23" i="2" l="1"/>
  <c r="A24" i="2"/>
  <c r="Q25" i="1"/>
  <c r="B23" i="2"/>
  <c r="C23" i="2" s="1"/>
  <c r="R24" i="1"/>
  <c r="D24" i="2" l="1"/>
  <c r="A25" i="2"/>
  <c r="Q26" i="1"/>
  <c r="B24" i="2"/>
  <c r="C24" i="2" s="1"/>
  <c r="R25" i="1"/>
  <c r="D25" i="2" l="1"/>
  <c r="B25" i="2"/>
  <c r="C25" i="2" s="1"/>
  <c r="R26" i="1"/>
  <c r="A26" i="2"/>
  <c r="Q27" i="1"/>
  <c r="D26" i="2" l="1"/>
  <c r="B26" i="2"/>
  <c r="C26" i="2" s="1"/>
  <c r="R27" i="1"/>
  <c r="A27" i="2"/>
  <c r="Q28" i="1"/>
  <c r="D27" i="2" l="1"/>
  <c r="A28" i="2"/>
  <c r="Q29" i="1"/>
  <c r="B27" i="2"/>
  <c r="C27" i="2" s="1"/>
  <c r="R28" i="1"/>
  <c r="D28" i="2" l="1"/>
  <c r="B28" i="2"/>
  <c r="C28" i="2" s="1"/>
  <c r="R29" i="1"/>
  <c r="A29" i="2"/>
  <c r="Q30" i="1"/>
  <c r="D29" i="2" l="1"/>
  <c r="B29" i="2"/>
  <c r="C29" i="2" s="1"/>
  <c r="R30" i="1"/>
  <c r="A30" i="2"/>
  <c r="Q31" i="1"/>
  <c r="A31" i="2" s="1"/>
  <c r="D30" i="2" l="1"/>
  <c r="D31" i="2"/>
  <c r="B30" i="2"/>
  <c r="C30" i="2" s="1"/>
  <c r="R31" i="1"/>
  <c r="B31" i="2" s="1"/>
  <c r="C31" i="2" s="1"/>
  <c r="Q32" i="1"/>
  <c r="A32" i="2" s="1"/>
  <c r="D32" i="2" l="1"/>
  <c r="R32" i="1"/>
  <c r="B32" i="2" s="1"/>
  <c r="C32" i="2" s="1"/>
  <c r="Q33" i="1"/>
  <c r="A33" i="2" s="1"/>
  <c r="D33" i="2" l="1"/>
  <c r="R33" i="1"/>
  <c r="B33" i="2" s="1"/>
  <c r="C33" i="2" s="1"/>
  <c r="Q34" i="1"/>
  <c r="A34" i="2" s="1"/>
  <c r="D34" i="2" l="1"/>
  <c r="R34" i="1"/>
  <c r="B34" i="2" s="1"/>
  <c r="C34" i="2" s="1"/>
  <c r="Q35" i="1"/>
  <c r="A35" i="2" s="1"/>
  <c r="D35" i="2" l="1"/>
  <c r="R35" i="1"/>
  <c r="B35" i="2" s="1"/>
  <c r="C35" i="2" s="1"/>
  <c r="Q36" i="1"/>
  <c r="A36" i="2" s="1"/>
  <c r="D36" i="2" l="1"/>
  <c r="Q37" i="1"/>
  <c r="A37" i="2" s="1"/>
  <c r="R36" i="1"/>
  <c r="B36" i="2" s="1"/>
  <c r="C36" i="2" s="1"/>
  <c r="D37" i="2" l="1"/>
  <c r="Q38" i="1"/>
  <c r="A38" i="2" s="1"/>
  <c r="R37" i="1"/>
  <c r="B37" i="2" s="1"/>
  <c r="C37" i="2" s="1"/>
  <c r="D38" i="2" l="1"/>
  <c r="Q39" i="1"/>
  <c r="A39" i="2" s="1"/>
  <c r="R38" i="1"/>
  <c r="B38" i="2" s="1"/>
  <c r="C38" i="2" s="1"/>
  <c r="D39" i="2" l="1"/>
  <c r="Q40" i="1"/>
  <c r="A40" i="2" s="1"/>
  <c r="R39" i="1"/>
  <c r="B39" i="2" s="1"/>
  <c r="C39" i="2" s="1"/>
  <c r="D40" i="2" l="1"/>
  <c r="Q41" i="1"/>
  <c r="A41" i="2" s="1"/>
  <c r="R40" i="1"/>
  <c r="B40" i="2" s="1"/>
  <c r="C40" i="2" s="1"/>
  <c r="D41" i="2" l="1"/>
  <c r="Q42" i="1"/>
  <c r="A42" i="2" s="1"/>
  <c r="R41" i="1"/>
  <c r="B41" i="2" s="1"/>
  <c r="C41" i="2" s="1"/>
  <c r="D42" i="2" l="1"/>
  <c r="Q43" i="1"/>
  <c r="A43" i="2" s="1"/>
  <c r="R42" i="1"/>
  <c r="B42" i="2" s="1"/>
  <c r="C42" i="2" s="1"/>
  <c r="D43" i="2" l="1"/>
  <c r="R43" i="1"/>
  <c r="B43" i="2" s="1"/>
  <c r="C43" i="2" s="1"/>
  <c r="Q44" i="1"/>
  <c r="A44" i="2" s="1"/>
  <c r="D44" i="2" l="1"/>
  <c r="R44" i="1"/>
  <c r="B44" i="2" s="1"/>
  <c r="C44" i="2" s="1"/>
  <c r="Q45" i="1"/>
  <c r="A45" i="2" s="1"/>
  <c r="D45" i="2" l="1"/>
  <c r="Q46" i="1"/>
  <c r="A46" i="2" s="1"/>
  <c r="R45" i="1"/>
  <c r="B45" i="2" s="1"/>
  <c r="C45" i="2" s="1"/>
  <c r="D46" i="2" l="1"/>
  <c r="Q47" i="1"/>
  <c r="A47" i="2" s="1"/>
  <c r="R46" i="1"/>
  <c r="B46" i="2" s="1"/>
  <c r="C46" i="2" s="1"/>
  <c r="D47" i="2" l="1"/>
  <c r="R47" i="1"/>
  <c r="B47" i="2" s="1"/>
  <c r="C47" i="2" s="1"/>
  <c r="Q48" i="1"/>
  <c r="A48" i="2" s="1"/>
  <c r="D48" i="2" l="1"/>
  <c r="R48" i="1"/>
  <c r="B48" i="2" s="1"/>
  <c r="C48" i="2" s="1"/>
  <c r="Q49" i="1"/>
  <c r="A49" i="2" s="1"/>
  <c r="D49" i="2" l="1"/>
  <c r="R49" i="1"/>
  <c r="B49" i="2" s="1"/>
  <c r="C49" i="2" s="1"/>
  <c r="Q50" i="1"/>
  <c r="A50" i="2" s="1"/>
  <c r="D50" i="2" l="1"/>
  <c r="Q51" i="1"/>
  <c r="A51" i="2" s="1"/>
  <c r="R50" i="1"/>
  <c r="B50" i="2" s="1"/>
  <c r="C50" i="2" s="1"/>
  <c r="D51" i="2" l="1"/>
  <c r="Q52" i="1"/>
  <c r="A52" i="2" s="1"/>
  <c r="R51" i="1"/>
  <c r="B51" i="2" s="1"/>
  <c r="C51" i="2" s="1"/>
  <c r="D52" i="2" l="1"/>
  <c r="R52" i="1"/>
  <c r="B52" i="2" s="1"/>
  <c r="C52" i="2" s="1"/>
  <c r="Q53" i="1"/>
  <c r="A53" i="2" s="1"/>
  <c r="D53" i="2" l="1"/>
  <c r="Q54" i="1"/>
  <c r="A54" i="2" s="1"/>
  <c r="R53" i="1"/>
  <c r="B53" i="2" s="1"/>
  <c r="C53" i="2" s="1"/>
  <c r="D54" i="2" l="1"/>
  <c r="Q55" i="1"/>
  <c r="A55" i="2" s="1"/>
  <c r="R54" i="1"/>
  <c r="B54" i="2" s="1"/>
  <c r="C54" i="2" s="1"/>
  <c r="D55" i="2" l="1"/>
  <c r="R55" i="1"/>
  <c r="B55" i="2" s="1"/>
  <c r="C55" i="2" s="1"/>
  <c r="Q56" i="1"/>
  <c r="A56" i="2" s="1"/>
  <c r="D56" i="2" l="1"/>
  <c r="R56" i="1"/>
  <c r="B56" i="2" s="1"/>
  <c r="C56" i="2" s="1"/>
  <c r="Q57" i="1"/>
  <c r="A57" i="2" s="1"/>
  <c r="D57" i="2" l="1"/>
  <c r="R57" i="1"/>
  <c r="B57" i="2" s="1"/>
  <c r="C57" i="2" s="1"/>
  <c r="Q58" i="1"/>
  <c r="A58" i="2" s="1"/>
  <c r="D58" i="2" l="1"/>
  <c r="Q59" i="1"/>
  <c r="A59" i="2" s="1"/>
  <c r="R58" i="1"/>
  <c r="B58" i="2" s="1"/>
  <c r="C58" i="2" s="1"/>
  <c r="D59" i="2" l="1"/>
  <c r="R59" i="1"/>
  <c r="B59" i="2" s="1"/>
  <c r="C59" i="2" s="1"/>
  <c r="Q60" i="1"/>
  <c r="A60" i="2" s="1"/>
  <c r="D60" i="2" l="1"/>
  <c r="Q61" i="1"/>
  <c r="A61" i="2" s="1"/>
  <c r="R60" i="1"/>
  <c r="B60" i="2" s="1"/>
  <c r="C60" i="2" s="1"/>
  <c r="D61" i="2" l="1"/>
  <c r="R61" i="1"/>
  <c r="B61" i="2" s="1"/>
  <c r="C61" i="2" s="1"/>
  <c r="Q62" i="1"/>
  <c r="A62" i="2" s="1"/>
  <c r="D62" i="2" l="1"/>
  <c r="R62" i="1"/>
  <c r="B62" i="2" s="1"/>
  <c r="C62" i="2" s="1"/>
  <c r="Q63" i="1"/>
  <c r="A63" i="2" s="1"/>
  <c r="D63" i="2" l="1"/>
  <c r="Q64" i="1"/>
  <c r="A64" i="2" s="1"/>
  <c r="R63" i="1"/>
  <c r="B63" i="2" s="1"/>
  <c r="C63" i="2" s="1"/>
  <c r="D64" i="2" l="1"/>
  <c r="R64" i="1"/>
  <c r="B64" i="2" s="1"/>
  <c r="C64" i="2" s="1"/>
  <c r="Q65" i="1"/>
  <c r="A65" i="2" s="1"/>
  <c r="D65" i="2" l="1"/>
  <c r="Q66" i="1"/>
  <c r="A66" i="2" s="1"/>
  <c r="R65" i="1"/>
  <c r="B65" i="2" s="1"/>
  <c r="C65" i="2" s="1"/>
  <c r="D66" i="2" l="1"/>
  <c r="Q67" i="1"/>
  <c r="A67" i="2" s="1"/>
  <c r="R66" i="1"/>
  <c r="B66" i="2" s="1"/>
  <c r="C66" i="2" s="1"/>
  <c r="D67" i="2" l="1"/>
  <c r="Q68" i="1"/>
  <c r="A68" i="2" s="1"/>
  <c r="R67" i="1"/>
  <c r="B67" i="2" s="1"/>
  <c r="C67" i="2" s="1"/>
  <c r="D68" i="2" l="1"/>
  <c r="R68" i="1"/>
  <c r="B68" i="2" s="1"/>
  <c r="C68" i="2" s="1"/>
  <c r="Q69" i="1"/>
  <c r="A69" i="2" s="1"/>
  <c r="D69" i="2" l="1"/>
  <c r="Q70" i="1"/>
  <c r="A70" i="2" s="1"/>
  <c r="R69" i="1"/>
  <c r="B69" i="2" s="1"/>
  <c r="C69" i="2" s="1"/>
  <c r="D70" i="2" l="1"/>
  <c r="R70" i="1"/>
  <c r="B70" i="2" s="1"/>
  <c r="C70" i="2" s="1"/>
  <c r="Q71" i="1"/>
  <c r="A71" i="2" s="1"/>
  <c r="D71" i="2" l="1"/>
  <c r="R71" i="1"/>
  <c r="B71" i="2" s="1"/>
  <c r="C71" i="2" s="1"/>
  <c r="Q72" i="1"/>
  <c r="A72" i="2" s="1"/>
  <c r="D72" i="2" l="1"/>
  <c r="R72" i="1"/>
  <c r="B72" i="2" s="1"/>
  <c r="C72" i="2" s="1"/>
  <c r="Q73" i="1"/>
  <c r="A73" i="2" s="1"/>
  <c r="D73" i="2" l="1"/>
  <c r="R73" i="1"/>
  <c r="B73" i="2" s="1"/>
  <c r="C73" i="2" s="1"/>
  <c r="Q74" i="1"/>
  <c r="A74" i="2" s="1"/>
  <c r="D74" i="2" l="1"/>
  <c r="Q75" i="1"/>
  <c r="A75" i="2" s="1"/>
  <c r="R74" i="1"/>
  <c r="B74" i="2" s="1"/>
  <c r="C74" i="2" s="1"/>
  <c r="D75" i="2" l="1"/>
  <c r="R75" i="1"/>
  <c r="B75" i="2" s="1"/>
  <c r="C75" i="2" s="1"/>
  <c r="Q76" i="1"/>
  <c r="A76" i="2" s="1"/>
  <c r="D76" i="2" l="1"/>
  <c r="Q77" i="1"/>
  <c r="A77" i="2" s="1"/>
  <c r="R76" i="1"/>
  <c r="B76" i="2" s="1"/>
  <c r="C76" i="2" s="1"/>
  <c r="D77" i="2" l="1"/>
  <c r="Q78" i="1"/>
  <c r="A78" i="2" s="1"/>
  <c r="R77" i="1"/>
  <c r="B77" i="2" s="1"/>
  <c r="C77" i="2" s="1"/>
  <c r="D78" i="2" l="1"/>
  <c r="Q79" i="1"/>
  <c r="A79" i="2" s="1"/>
  <c r="R78" i="1"/>
  <c r="B78" i="2" s="1"/>
  <c r="C78" i="2" s="1"/>
  <c r="D79" i="2" l="1"/>
  <c r="R79" i="1"/>
  <c r="B79" i="2" s="1"/>
  <c r="C79" i="2" s="1"/>
  <c r="Q80" i="1"/>
  <c r="A80" i="2" s="1"/>
  <c r="D80" i="2" l="1"/>
  <c r="Q81" i="1"/>
  <c r="A81" i="2" s="1"/>
  <c r="R80" i="1"/>
  <c r="B80" i="2" s="1"/>
  <c r="C80" i="2" s="1"/>
  <c r="D81" i="2" l="1"/>
  <c r="R81" i="1"/>
  <c r="B81" i="2" s="1"/>
  <c r="C81" i="2" s="1"/>
  <c r="Q82" i="1"/>
  <c r="A82" i="2" s="1"/>
  <c r="D82" i="2" l="1"/>
  <c r="Q83" i="1"/>
  <c r="A83" i="2" s="1"/>
  <c r="R82" i="1"/>
  <c r="B82" i="2" s="1"/>
  <c r="C82" i="2" s="1"/>
  <c r="D83" i="2" l="1"/>
  <c r="Q84" i="1"/>
  <c r="A84" i="2" s="1"/>
  <c r="R83" i="1"/>
  <c r="B83" i="2" s="1"/>
  <c r="C83" i="2" s="1"/>
  <c r="D84" i="2" l="1"/>
  <c r="R84" i="1"/>
  <c r="B84" i="2" s="1"/>
  <c r="C84" i="2" s="1"/>
  <c r="Q85" i="1"/>
  <c r="A85" i="2" s="1"/>
  <c r="D85" i="2" l="1"/>
  <c r="R85" i="1"/>
  <c r="B85" i="2" s="1"/>
  <c r="C85" i="2" s="1"/>
  <c r="Q86" i="1"/>
  <c r="A86" i="2" s="1"/>
  <c r="D86" i="2" l="1"/>
  <c r="Q87" i="1"/>
  <c r="A87" i="2" s="1"/>
  <c r="R86" i="1"/>
  <c r="B86" i="2" s="1"/>
  <c r="C86" i="2" s="1"/>
  <c r="D87" i="2" l="1"/>
  <c r="R87" i="1"/>
  <c r="B87" i="2" s="1"/>
  <c r="C87" i="2" s="1"/>
  <c r="Q88" i="1"/>
  <c r="A88" i="2" s="1"/>
  <c r="D88" i="2" l="1"/>
  <c r="Q89" i="1"/>
  <c r="A89" i="2" s="1"/>
  <c r="R88" i="1"/>
  <c r="B88" i="2" s="1"/>
  <c r="C88" i="2" s="1"/>
  <c r="D89" i="2" l="1"/>
  <c r="R89" i="1"/>
  <c r="B89" i="2" s="1"/>
  <c r="C89" i="2" s="1"/>
  <c r="Q90" i="1"/>
  <c r="A90" i="2" s="1"/>
  <c r="D90" i="2" l="1"/>
  <c r="R90" i="1"/>
  <c r="B90" i="2" s="1"/>
  <c r="C90" i="2" s="1"/>
  <c r="Q91" i="1"/>
  <c r="A91" i="2" s="1"/>
  <c r="D91" i="2" l="1"/>
  <c r="R91" i="1"/>
  <c r="B91" i="2" s="1"/>
  <c r="C91" i="2" s="1"/>
  <c r="Q92" i="1"/>
  <c r="A92" i="2" s="1"/>
  <c r="D92" i="2" l="1"/>
  <c r="Q93" i="1"/>
  <c r="A93" i="2" s="1"/>
  <c r="R92" i="1"/>
  <c r="B92" i="2" s="1"/>
  <c r="C92" i="2" s="1"/>
  <c r="D93" i="2" l="1"/>
  <c r="Q94" i="1"/>
  <c r="A94" i="2" s="1"/>
  <c r="R93" i="1"/>
  <c r="B93" i="2" s="1"/>
  <c r="C93" i="2" s="1"/>
  <c r="D94" i="2" l="1"/>
  <c r="Q95" i="1"/>
  <c r="A95" i="2" s="1"/>
  <c r="R94" i="1"/>
  <c r="B94" i="2" s="1"/>
  <c r="C94" i="2" s="1"/>
  <c r="D95" i="2" l="1"/>
  <c r="R95" i="1"/>
  <c r="B95" i="2" s="1"/>
  <c r="C95" i="2" s="1"/>
  <c r="Q96" i="1"/>
  <c r="A96" i="2" s="1"/>
  <c r="D96" i="2" l="1"/>
  <c r="Q97" i="1"/>
  <c r="A97" i="2" s="1"/>
  <c r="R96" i="1"/>
  <c r="B96" i="2" s="1"/>
  <c r="C96" i="2" s="1"/>
  <c r="D97" i="2" l="1"/>
  <c r="R97" i="1"/>
  <c r="B97" i="2" s="1"/>
  <c r="C97" i="2" s="1"/>
  <c r="Q98" i="1"/>
  <c r="A98" i="2" s="1"/>
  <c r="D98" i="2" l="1"/>
  <c r="R98" i="1"/>
  <c r="B98" i="2" s="1"/>
  <c r="C98" i="2" s="1"/>
  <c r="Q99" i="1"/>
  <c r="A99" i="2" s="1"/>
  <c r="D99" i="2" l="1"/>
  <c r="R99" i="1"/>
  <c r="B99" i="2" s="1"/>
  <c r="C99" i="2" s="1"/>
  <c r="Q100" i="1"/>
  <c r="A100" i="2" s="1"/>
  <c r="D100" i="2" l="1"/>
  <c r="Q101" i="1"/>
  <c r="A101" i="2" s="1"/>
  <c r="R100" i="1"/>
  <c r="B100" i="2" s="1"/>
  <c r="C100" i="2" s="1"/>
  <c r="D101" i="2" l="1"/>
  <c r="R101" i="1"/>
  <c r="B101" i="2" s="1"/>
  <c r="C101" i="2" s="1"/>
  <c r="Q102" i="1"/>
  <c r="A102" i="2" s="1"/>
  <c r="D102" i="2" l="1"/>
  <c r="Q103" i="1"/>
  <c r="A103" i="2" s="1"/>
  <c r="R102" i="1"/>
  <c r="B102" i="2" s="1"/>
  <c r="C102" i="2" s="1"/>
  <c r="D103" i="2" l="1"/>
  <c r="R103" i="1"/>
  <c r="B103" i="2" s="1"/>
  <c r="C103" i="2" s="1"/>
  <c r="Q104" i="1"/>
  <c r="A104" i="2" s="1"/>
  <c r="D104" i="2" l="1"/>
  <c r="R104" i="1"/>
  <c r="B104" i="2" s="1"/>
  <c r="C104" i="2" s="1"/>
  <c r="Q105" i="1"/>
  <c r="A105" i="2" s="1"/>
  <c r="D105" i="2" l="1"/>
  <c r="R105" i="1"/>
  <c r="B105" i="2" s="1"/>
  <c r="C105" i="2" s="1"/>
  <c r="Q106" i="1"/>
  <c r="A106" i="2" s="1"/>
  <c r="D106" i="2" l="1"/>
  <c r="Q107" i="1"/>
  <c r="A107" i="2" s="1"/>
  <c r="R106" i="1"/>
  <c r="B106" i="2" s="1"/>
  <c r="C106" i="2" s="1"/>
  <c r="D107" i="2" l="1"/>
  <c r="Q108" i="1"/>
  <c r="A108" i="2" s="1"/>
  <c r="R107" i="1"/>
  <c r="B107" i="2" s="1"/>
  <c r="C107" i="2" s="1"/>
  <c r="D108" i="2" l="1"/>
  <c r="R108" i="1"/>
  <c r="B108" i="2" s="1"/>
  <c r="C108" i="2" s="1"/>
  <c r="Q109" i="1"/>
  <c r="A109" i="2" s="1"/>
  <c r="D109" i="2" l="1"/>
  <c r="R109" i="1"/>
  <c r="B109" i="2" s="1"/>
  <c r="C109" i="2" s="1"/>
  <c r="Q110" i="1"/>
  <c r="A110" i="2" s="1"/>
  <c r="D110" i="2" l="1"/>
  <c r="Q111" i="1"/>
  <c r="A111" i="2" s="1"/>
  <c r="R110" i="1"/>
  <c r="B110" i="2" s="1"/>
  <c r="C110" i="2" s="1"/>
  <c r="D111" i="2" l="1"/>
  <c r="R111" i="1"/>
  <c r="B111" i="2" s="1"/>
  <c r="C111" i="2" s="1"/>
  <c r="Q112" i="1"/>
  <c r="A112" i="2" s="1"/>
  <c r="D112" i="2" l="1"/>
  <c r="R112" i="1"/>
  <c r="B112" i="2" s="1"/>
  <c r="C112" i="2" s="1"/>
  <c r="Q113" i="1"/>
  <c r="A113" i="2" s="1"/>
  <c r="D113" i="2" l="1"/>
  <c r="Q114" i="1"/>
  <c r="A114" i="2" s="1"/>
  <c r="R113" i="1"/>
  <c r="B113" i="2" s="1"/>
  <c r="C113" i="2" s="1"/>
  <c r="D114" i="2" l="1"/>
  <c r="Q115" i="1"/>
  <c r="A115" i="2" s="1"/>
  <c r="R114" i="1"/>
  <c r="B114" i="2" s="1"/>
  <c r="C114" i="2" s="1"/>
  <c r="D115" i="2" l="1"/>
  <c r="Q116" i="1"/>
  <c r="A116" i="2" s="1"/>
  <c r="R115" i="1"/>
  <c r="B115" i="2" s="1"/>
  <c r="C115" i="2" s="1"/>
  <c r="D116" i="2" l="1"/>
  <c r="Q117" i="1"/>
  <c r="A117" i="2" s="1"/>
  <c r="R116" i="1"/>
  <c r="B116" i="2" s="1"/>
  <c r="C116" i="2" s="1"/>
  <c r="D117" i="2" l="1"/>
  <c r="Q118" i="1"/>
  <c r="A118" i="2" s="1"/>
  <c r="R117" i="1"/>
  <c r="B117" i="2" s="1"/>
  <c r="C117" i="2" s="1"/>
  <c r="D118" i="2" l="1"/>
  <c r="R118" i="1"/>
  <c r="B118" i="2" s="1"/>
  <c r="C118" i="2" s="1"/>
  <c r="Q119" i="1"/>
  <c r="A119" i="2" s="1"/>
  <c r="D119" i="2" l="1"/>
  <c r="R119" i="1"/>
  <c r="B119" i="2" s="1"/>
  <c r="C119" i="2" s="1"/>
  <c r="Q120" i="1"/>
  <c r="A120" i="2" s="1"/>
  <c r="D120" i="2" l="1"/>
  <c r="Q121" i="1"/>
  <c r="A121" i="2" s="1"/>
  <c r="R120" i="1"/>
  <c r="B120" i="2" s="1"/>
  <c r="C120" i="2" s="1"/>
  <c r="D121" i="2" l="1"/>
  <c r="R121" i="1"/>
  <c r="B121" i="2" s="1"/>
  <c r="C121" i="2" s="1"/>
  <c r="Q122" i="1"/>
  <c r="A122" i="2" s="1"/>
  <c r="D122" i="2" l="1"/>
  <c r="R122" i="1"/>
  <c r="B122" i="2" s="1"/>
  <c r="C122" i="2" s="1"/>
  <c r="Q123" i="1"/>
  <c r="A123" i="2" s="1"/>
  <c r="D123" i="2" l="1"/>
  <c r="Q124" i="1"/>
  <c r="A124" i="2" s="1"/>
  <c r="R123" i="1"/>
  <c r="B123" i="2" s="1"/>
  <c r="C123" i="2" s="1"/>
  <c r="D124" i="2" l="1"/>
  <c r="R124" i="1"/>
  <c r="B124" i="2" s="1"/>
  <c r="C124" i="2" s="1"/>
  <c r="Q125" i="1"/>
  <c r="A125" i="2" s="1"/>
  <c r="D125" i="2" l="1"/>
  <c r="Q126" i="1"/>
  <c r="A126" i="2" s="1"/>
  <c r="R125" i="1"/>
  <c r="B125" i="2" s="1"/>
  <c r="C125" i="2" s="1"/>
  <c r="D126" i="2" l="1"/>
  <c r="R126" i="1"/>
  <c r="B126" i="2" s="1"/>
  <c r="C126" i="2" s="1"/>
  <c r="Q127" i="1"/>
  <c r="A127" i="2" s="1"/>
  <c r="D127" i="2" l="1"/>
  <c r="R127" i="1"/>
  <c r="B127" i="2" s="1"/>
  <c r="C127" i="2" s="1"/>
  <c r="Q128" i="1"/>
  <c r="A128" i="2" s="1"/>
  <c r="D128" i="2" l="1"/>
  <c r="Q129" i="1"/>
  <c r="A129" i="2" s="1"/>
  <c r="R128" i="1"/>
  <c r="B128" i="2" s="1"/>
  <c r="C128" i="2" s="1"/>
  <c r="D129" i="2" l="1"/>
  <c r="Q130" i="1"/>
  <c r="A130" i="2" s="1"/>
  <c r="R129" i="1"/>
  <c r="B129" i="2" s="1"/>
  <c r="C129" i="2" s="1"/>
  <c r="D130" i="2" l="1"/>
  <c r="Q131" i="1"/>
  <c r="A131" i="2" s="1"/>
  <c r="R130" i="1"/>
  <c r="B130" i="2" s="1"/>
  <c r="C130" i="2" s="1"/>
  <c r="D131" i="2" l="1"/>
  <c r="R131" i="1"/>
  <c r="B131" i="2" s="1"/>
  <c r="C131" i="2" s="1"/>
  <c r="Q132" i="1"/>
  <c r="A132" i="2" s="1"/>
  <c r="D132" i="2" l="1"/>
  <c r="Q133" i="1"/>
  <c r="A133" i="2" s="1"/>
  <c r="R132" i="1"/>
  <c r="B132" i="2" s="1"/>
  <c r="C132" i="2" s="1"/>
  <c r="D133" i="2" l="1"/>
  <c r="R133" i="1"/>
  <c r="B133" i="2" s="1"/>
  <c r="C133" i="2" s="1"/>
  <c r="Q134" i="1"/>
  <c r="A134" i="2" s="1"/>
  <c r="D134" i="2" l="1"/>
  <c r="R134" i="1"/>
  <c r="B134" i="2" s="1"/>
  <c r="C134" i="2" s="1"/>
  <c r="Q135" i="1"/>
  <c r="A135" i="2" s="1"/>
  <c r="D135" i="2" l="1"/>
  <c r="R135" i="1"/>
  <c r="B135" i="2" s="1"/>
  <c r="C135" i="2" s="1"/>
  <c r="Q136" i="1"/>
  <c r="A136" i="2" s="1"/>
  <c r="D136" i="2" l="1"/>
  <c r="Q137" i="1"/>
  <c r="A137" i="2" s="1"/>
  <c r="R136" i="1"/>
  <c r="B136" i="2" s="1"/>
  <c r="C136" i="2" s="1"/>
  <c r="D137" i="2" l="1"/>
  <c r="R137" i="1"/>
  <c r="B137" i="2" s="1"/>
  <c r="C137" i="2" s="1"/>
  <c r="Q138" i="1"/>
  <c r="A138" i="2" s="1"/>
  <c r="D138" i="2" l="1"/>
  <c r="Q139" i="1"/>
  <c r="A139" i="2" s="1"/>
  <c r="R138" i="1"/>
  <c r="B138" i="2" s="1"/>
  <c r="C138" i="2" s="1"/>
  <c r="D139" i="2" l="1"/>
  <c r="R139" i="1"/>
  <c r="B139" i="2" s="1"/>
  <c r="C139" i="2" s="1"/>
  <c r="Q140" i="1"/>
  <c r="A140" i="2" s="1"/>
  <c r="D140" i="2" l="1"/>
  <c r="Q141" i="1"/>
  <c r="A141" i="2" s="1"/>
  <c r="R140" i="1"/>
  <c r="B140" i="2" s="1"/>
  <c r="C140" i="2" s="1"/>
  <c r="D141" i="2" l="1"/>
  <c r="R141" i="1"/>
  <c r="B141" i="2" s="1"/>
  <c r="C141" i="2" s="1"/>
  <c r="Q142" i="1"/>
  <c r="A142" i="2" s="1"/>
  <c r="D142" i="2" l="1"/>
  <c r="R142" i="1"/>
  <c r="B142" i="2" s="1"/>
  <c r="C142" i="2" s="1"/>
  <c r="Q143" i="1"/>
  <c r="A143" i="2" s="1"/>
  <c r="D143" i="2" l="1"/>
  <c r="Q144" i="1"/>
  <c r="A144" i="2" s="1"/>
  <c r="R143" i="1"/>
  <c r="B143" i="2" s="1"/>
  <c r="C143" i="2" s="1"/>
  <c r="D144" i="2" l="1"/>
  <c r="Q145" i="1"/>
  <c r="A145" i="2" s="1"/>
  <c r="R144" i="1"/>
  <c r="B144" i="2" s="1"/>
  <c r="C144" i="2" s="1"/>
  <c r="D145" i="2" l="1"/>
  <c r="R145" i="1"/>
  <c r="B145" i="2" s="1"/>
  <c r="C145" i="2" s="1"/>
  <c r="Q146" i="1"/>
  <c r="A146" i="2" s="1"/>
  <c r="D146" i="2" l="1"/>
  <c r="R146" i="1"/>
  <c r="B146" i="2" s="1"/>
  <c r="C146" i="2" s="1"/>
  <c r="Q147" i="1"/>
  <c r="A147" i="2" s="1"/>
  <c r="D147" i="2" l="1"/>
  <c r="R147" i="1"/>
  <c r="B147" i="2" s="1"/>
  <c r="C147" i="2" s="1"/>
  <c r="Q148" i="1"/>
  <c r="A148" i="2" s="1"/>
  <c r="D148" i="2" l="1"/>
  <c r="Q149" i="1"/>
  <c r="A149" i="2" s="1"/>
  <c r="R148" i="1"/>
  <c r="B148" i="2" s="1"/>
  <c r="C148" i="2" s="1"/>
  <c r="D149" i="2" l="1"/>
  <c r="R149" i="1"/>
  <c r="B149" i="2" s="1"/>
  <c r="C149" i="2" s="1"/>
  <c r="Q150" i="1"/>
  <c r="A150" i="2" s="1"/>
  <c r="D150" i="2" l="1"/>
  <c r="R150" i="1"/>
  <c r="B150" i="2" s="1"/>
  <c r="C150" i="2" s="1"/>
  <c r="Q151" i="1"/>
  <c r="A151" i="2" s="1"/>
  <c r="D151" i="2" l="1"/>
  <c r="R151" i="1"/>
  <c r="B151" i="2" s="1"/>
  <c r="C151" i="2" s="1"/>
  <c r="Q152" i="1"/>
  <c r="A152" i="2" s="1"/>
  <c r="D152" i="2" l="1"/>
  <c r="Q153" i="1"/>
  <c r="A153" i="2" s="1"/>
  <c r="R152" i="1"/>
  <c r="B152" i="2" s="1"/>
  <c r="C152" i="2" s="1"/>
  <c r="D153" i="2" l="1"/>
  <c r="Q154" i="1"/>
  <c r="A154" i="2" s="1"/>
  <c r="R153" i="1"/>
  <c r="B153" i="2" s="1"/>
  <c r="C153" i="2" s="1"/>
  <c r="D154" i="2" l="1"/>
  <c r="R154" i="1"/>
  <c r="B154" i="2" s="1"/>
  <c r="C154" i="2" s="1"/>
  <c r="Q155" i="1"/>
  <c r="A155" i="2" s="1"/>
  <c r="D155" i="2" l="1"/>
  <c r="R155" i="1"/>
  <c r="B155" i="2" s="1"/>
  <c r="C155" i="2" s="1"/>
  <c r="Q156" i="1"/>
  <c r="A156" i="2" s="1"/>
  <c r="D156" i="2" l="1"/>
  <c r="R156" i="1"/>
  <c r="B156" i="2" s="1"/>
  <c r="C156" i="2" s="1"/>
  <c r="Q157" i="1"/>
  <c r="A157" i="2" s="1"/>
  <c r="D157" i="2" l="1"/>
  <c r="R157" i="1"/>
  <c r="B157" i="2" s="1"/>
  <c r="C157" i="2" s="1"/>
  <c r="Q158" i="1"/>
  <c r="A158" i="2" s="1"/>
  <c r="D158" i="2" l="1"/>
  <c r="R158" i="1"/>
  <c r="B158" i="2" s="1"/>
  <c r="C158" i="2" s="1"/>
  <c r="Q159" i="1"/>
  <c r="A159" i="2" s="1"/>
  <c r="D159" i="2" l="1"/>
  <c r="Q160" i="1"/>
  <c r="A160" i="2" s="1"/>
  <c r="R159" i="1"/>
  <c r="B159" i="2" s="1"/>
  <c r="C159" i="2" s="1"/>
  <c r="D160" i="2" l="1"/>
  <c r="Q161" i="1"/>
  <c r="A161" i="2" s="1"/>
  <c r="R160" i="1"/>
  <c r="B160" i="2" s="1"/>
  <c r="C160" i="2" s="1"/>
  <c r="D161" i="2" l="1"/>
  <c r="Q162" i="1"/>
  <c r="A162" i="2" s="1"/>
  <c r="R161" i="1"/>
  <c r="B161" i="2" s="1"/>
  <c r="C161" i="2" s="1"/>
  <c r="D162" i="2" l="1"/>
  <c r="Q163" i="1"/>
  <c r="A163" i="2" s="1"/>
  <c r="R162" i="1"/>
  <c r="B162" i="2" s="1"/>
  <c r="C162" i="2" s="1"/>
  <c r="D163" i="2" l="1"/>
  <c r="R163" i="1"/>
  <c r="B163" i="2" s="1"/>
  <c r="C163" i="2" s="1"/>
  <c r="Q164" i="1"/>
  <c r="A164" i="2" s="1"/>
  <c r="D164" i="2" l="1"/>
  <c r="R164" i="1"/>
  <c r="B164" i="2" s="1"/>
  <c r="C164" i="2" s="1"/>
  <c r="Q165" i="1"/>
  <c r="A165" i="2" s="1"/>
  <c r="D165" i="2" l="1"/>
  <c r="Q166" i="1"/>
  <c r="A166" i="2" s="1"/>
  <c r="R165" i="1"/>
  <c r="B165" i="2" s="1"/>
  <c r="C165" i="2" s="1"/>
  <c r="D166" i="2" l="1"/>
  <c r="R166" i="1"/>
  <c r="B166" i="2" s="1"/>
  <c r="C166" i="2" s="1"/>
  <c r="Q167" i="1"/>
  <c r="A167" i="2" s="1"/>
  <c r="D167" i="2" l="1"/>
  <c r="R167" i="1"/>
  <c r="B167" i="2" s="1"/>
  <c r="C167" i="2" s="1"/>
  <c r="Q168" i="1"/>
  <c r="A168" i="2" s="1"/>
  <c r="D168" i="2" l="1"/>
  <c r="Q169" i="1"/>
  <c r="A169" i="2" s="1"/>
  <c r="R168" i="1"/>
  <c r="B168" i="2" s="1"/>
  <c r="C168" i="2" s="1"/>
  <c r="D169" i="2" l="1"/>
  <c r="R169" i="1"/>
  <c r="B169" i="2" s="1"/>
  <c r="C169" i="2" s="1"/>
  <c r="Q170" i="1"/>
  <c r="A170" i="2" s="1"/>
  <c r="D170" i="2" l="1"/>
  <c r="Q171" i="1"/>
  <c r="A171" i="2" s="1"/>
  <c r="R170" i="1"/>
  <c r="B170" i="2" s="1"/>
  <c r="C170" i="2" s="1"/>
  <c r="D171" i="2" l="1"/>
  <c r="R171" i="1"/>
  <c r="B171" i="2" s="1"/>
  <c r="C171" i="2" s="1"/>
  <c r="Q172" i="1"/>
  <c r="A172" i="2" s="1"/>
  <c r="D172" i="2" l="1"/>
  <c r="Q173" i="1"/>
  <c r="A173" i="2" s="1"/>
  <c r="R172" i="1"/>
  <c r="B172" i="2" s="1"/>
  <c r="C172" i="2" s="1"/>
  <c r="D173" i="2" l="1"/>
  <c r="R173" i="1"/>
  <c r="B173" i="2" s="1"/>
  <c r="C173" i="2" s="1"/>
  <c r="Q174" i="1"/>
  <c r="A174" i="2" s="1"/>
  <c r="D174" i="2" l="1"/>
  <c r="Q175" i="1"/>
  <c r="A175" i="2" s="1"/>
  <c r="R174" i="1"/>
  <c r="B174" i="2" s="1"/>
  <c r="C174" i="2" s="1"/>
  <c r="D175" i="2" l="1"/>
  <c r="Q176" i="1"/>
  <c r="A176" i="2" s="1"/>
  <c r="R175" i="1"/>
  <c r="B175" i="2" s="1"/>
  <c r="C175" i="2" s="1"/>
  <c r="D176" i="2" l="1"/>
  <c r="Q177" i="1"/>
  <c r="A177" i="2" s="1"/>
  <c r="R176" i="1"/>
  <c r="B176" i="2" s="1"/>
  <c r="C176" i="2" s="1"/>
  <c r="D177" i="2" l="1"/>
  <c r="R177" i="1"/>
  <c r="B177" i="2" s="1"/>
  <c r="C177" i="2" s="1"/>
  <c r="Q178" i="1"/>
  <c r="A178" i="2" s="1"/>
  <c r="D178" i="2" l="1"/>
  <c r="Q179" i="1"/>
  <c r="A179" i="2" s="1"/>
  <c r="R178" i="1"/>
  <c r="B178" i="2" s="1"/>
  <c r="C178" i="2" s="1"/>
  <c r="D179" i="2" l="1"/>
  <c r="Q180" i="1"/>
  <c r="A180" i="2" s="1"/>
  <c r="R179" i="1"/>
  <c r="B179" i="2" s="1"/>
  <c r="C179" i="2" s="1"/>
  <c r="D180" i="2" l="1"/>
  <c r="Q181" i="1"/>
  <c r="A181" i="2" s="1"/>
  <c r="R180" i="1"/>
  <c r="B180" i="2" s="1"/>
  <c r="C180" i="2" s="1"/>
  <c r="D181" i="2" l="1"/>
  <c r="Q182" i="1"/>
  <c r="A182" i="2" s="1"/>
  <c r="R181" i="1"/>
  <c r="B181" i="2" s="1"/>
  <c r="C181" i="2" s="1"/>
  <c r="D182" i="2" l="1"/>
  <c r="Q183" i="1"/>
  <c r="A183" i="2" s="1"/>
  <c r="R182" i="1"/>
  <c r="B182" i="2" s="1"/>
  <c r="C182" i="2" s="1"/>
  <c r="D183" i="2" l="1"/>
  <c r="R183" i="1"/>
  <c r="B183" i="2" s="1"/>
  <c r="C183" i="2" s="1"/>
  <c r="Q184" i="1"/>
  <c r="A184" i="2" s="1"/>
  <c r="D184" i="2" l="1"/>
  <c r="Q185" i="1"/>
  <c r="A185" i="2" s="1"/>
  <c r="R184" i="1"/>
  <c r="B184" i="2" s="1"/>
  <c r="C184" i="2" s="1"/>
  <c r="D185" i="2" l="1"/>
  <c r="R185" i="1"/>
  <c r="B185" i="2" s="1"/>
  <c r="C185" i="2" s="1"/>
  <c r="Q186" i="1"/>
  <c r="A186" i="2" s="1"/>
  <c r="D186" i="2" l="1"/>
  <c r="Q187" i="1"/>
  <c r="A187" i="2" s="1"/>
  <c r="R186" i="1"/>
  <c r="B186" i="2" s="1"/>
  <c r="C186" i="2" s="1"/>
  <c r="D187" i="2" l="1"/>
  <c r="Q188" i="1"/>
  <c r="A188" i="2" s="1"/>
  <c r="R187" i="1"/>
  <c r="B187" i="2" s="1"/>
  <c r="C187" i="2" s="1"/>
  <c r="D188" i="2" l="1"/>
  <c r="Q189" i="1"/>
  <c r="A189" i="2" s="1"/>
  <c r="R188" i="1"/>
  <c r="B188" i="2" s="1"/>
  <c r="C188" i="2" s="1"/>
  <c r="D189" i="2" l="1"/>
  <c r="R189" i="1"/>
  <c r="B189" i="2" s="1"/>
  <c r="C189" i="2" s="1"/>
  <c r="Q190" i="1"/>
  <c r="A190" i="2" s="1"/>
  <c r="D190" i="2" l="1"/>
  <c r="R190" i="1"/>
  <c r="B190" i="2" s="1"/>
  <c r="C190" i="2" s="1"/>
  <c r="Q191" i="1"/>
  <c r="A191" i="2" s="1"/>
  <c r="D191" i="2" l="1"/>
  <c r="R191" i="1"/>
  <c r="B191" i="2" s="1"/>
  <c r="C191" i="2" s="1"/>
  <c r="Q192" i="1"/>
  <c r="A192" i="2" s="1"/>
  <c r="D192" i="2" l="1"/>
  <c r="Q193" i="1"/>
  <c r="A193" i="2" s="1"/>
  <c r="R192" i="1"/>
  <c r="B192" i="2" s="1"/>
  <c r="C192" i="2" s="1"/>
  <c r="D193" i="2" l="1"/>
  <c r="Q194" i="1"/>
  <c r="A194" i="2" s="1"/>
  <c r="R193" i="1"/>
  <c r="B193" i="2" s="1"/>
  <c r="C193" i="2" s="1"/>
  <c r="D194" i="2" l="1"/>
  <c r="R194" i="1"/>
  <c r="B194" i="2" s="1"/>
  <c r="C194" i="2" s="1"/>
  <c r="Q195" i="1"/>
  <c r="A195" i="2" s="1"/>
  <c r="D195" i="2" l="1"/>
  <c r="R195" i="1"/>
  <c r="B195" i="2" s="1"/>
  <c r="C195" i="2" s="1"/>
  <c r="Q196" i="1"/>
  <c r="A196" i="2" s="1"/>
  <c r="D196" i="2" l="1"/>
  <c r="Q197" i="1"/>
  <c r="A197" i="2" s="1"/>
  <c r="R196" i="1"/>
  <c r="B196" i="2" s="1"/>
  <c r="C196" i="2" s="1"/>
  <c r="D197" i="2" l="1"/>
  <c r="Q198" i="1"/>
  <c r="A198" i="2" s="1"/>
  <c r="R197" i="1"/>
  <c r="B197" i="2" s="1"/>
  <c r="C197" i="2" s="1"/>
  <c r="D198" i="2" l="1"/>
  <c r="Q199" i="1"/>
  <c r="A199" i="2" s="1"/>
  <c r="R198" i="1"/>
  <c r="B198" i="2" s="1"/>
  <c r="C198" i="2" s="1"/>
  <c r="D199" i="2" l="1"/>
  <c r="R199" i="1"/>
  <c r="B199" i="2" s="1"/>
  <c r="C199" i="2" s="1"/>
  <c r="Q200" i="1"/>
  <c r="A200" i="2" s="1"/>
  <c r="D200" i="2" l="1"/>
  <c r="Q201" i="1"/>
  <c r="A201" i="2" s="1"/>
  <c r="R200" i="1"/>
  <c r="B200" i="2" s="1"/>
  <c r="C200" i="2" s="1"/>
  <c r="D201" i="2" l="1"/>
  <c r="R201" i="1"/>
  <c r="B201" i="2" s="1"/>
  <c r="C201" i="2" s="1"/>
  <c r="Q202" i="1"/>
  <c r="A202" i="2" s="1"/>
  <c r="D202" i="2" l="1"/>
  <c r="R202" i="1"/>
  <c r="B202" i="2" s="1"/>
  <c r="C202" i="2" s="1"/>
  <c r="Q203" i="1"/>
  <c r="A203" i="2" s="1"/>
  <c r="D203" i="2" l="1"/>
  <c r="R203" i="1"/>
  <c r="B203" i="2" s="1"/>
  <c r="C203" i="2" s="1"/>
  <c r="Q204" i="1"/>
  <c r="A204" i="2" s="1"/>
  <c r="D204" i="2" l="1"/>
  <c r="Q205" i="1"/>
  <c r="A205" i="2" s="1"/>
  <c r="R204" i="1"/>
  <c r="B204" i="2" s="1"/>
  <c r="C204" i="2" s="1"/>
  <c r="D205" i="2" l="1"/>
  <c r="R205" i="1"/>
  <c r="B205" i="2" s="1"/>
  <c r="C205" i="2" s="1"/>
  <c r="Q206" i="1"/>
  <c r="A206" i="2" s="1"/>
  <c r="D206" i="2" l="1"/>
  <c r="R206" i="1"/>
  <c r="B206" i="2" s="1"/>
  <c r="C206" i="2" s="1"/>
  <c r="Q207" i="1"/>
  <c r="A207" i="2" s="1"/>
  <c r="D207" i="2" l="1"/>
  <c r="R207" i="1"/>
  <c r="B207" i="2" s="1"/>
  <c r="C207" i="2" s="1"/>
  <c r="Q208" i="1"/>
  <c r="A208" i="2" s="1"/>
  <c r="D208" i="2" l="1"/>
  <c r="Q209" i="1"/>
  <c r="A209" i="2" s="1"/>
  <c r="R208" i="1"/>
  <c r="B208" i="2" s="1"/>
  <c r="C208" i="2" s="1"/>
  <c r="D209" i="2" l="1"/>
  <c r="Q210" i="1"/>
  <c r="A210" i="2" s="1"/>
  <c r="R209" i="1"/>
  <c r="B209" i="2" s="1"/>
  <c r="C209" i="2" s="1"/>
  <c r="D210" i="2" l="1"/>
  <c r="R210" i="1"/>
  <c r="B210" i="2" s="1"/>
  <c r="C210" i="2" s="1"/>
  <c r="Q211" i="1"/>
  <c r="A211" i="2" s="1"/>
  <c r="D211" i="2" l="1"/>
  <c r="Q212" i="1"/>
  <c r="A212" i="2" s="1"/>
  <c r="R211" i="1"/>
  <c r="B211" i="2" s="1"/>
  <c r="C211" i="2" s="1"/>
  <c r="D212" i="2" l="1"/>
  <c r="Q213" i="1"/>
  <c r="A213" i="2" s="1"/>
  <c r="R212" i="1"/>
  <c r="B212" i="2" s="1"/>
  <c r="C212" i="2" s="1"/>
  <c r="D213" i="2" l="1"/>
  <c r="Q214" i="1"/>
  <c r="A214" i="2" s="1"/>
  <c r="R213" i="1"/>
  <c r="B213" i="2" s="1"/>
  <c r="C213" i="2" s="1"/>
  <c r="D214" i="2" l="1"/>
  <c r="Q215" i="1"/>
  <c r="A215" i="2" s="1"/>
  <c r="R214" i="1"/>
  <c r="B214" i="2" s="1"/>
  <c r="C214" i="2" s="1"/>
  <c r="D215" i="2" l="1"/>
  <c r="Q216" i="1"/>
  <c r="A216" i="2" s="1"/>
  <c r="R215" i="1"/>
  <c r="B215" i="2" s="1"/>
  <c r="C215" i="2" s="1"/>
  <c r="D216" i="2" l="1"/>
  <c r="R216" i="1"/>
  <c r="B216" i="2" s="1"/>
  <c r="C216" i="2" s="1"/>
  <c r="Q217" i="1"/>
  <c r="A217" i="2" s="1"/>
  <c r="D217" i="2" l="1"/>
  <c r="R217" i="1"/>
  <c r="B217" i="2" s="1"/>
  <c r="C217" i="2" s="1"/>
  <c r="Q218" i="1"/>
  <c r="A218" i="2" s="1"/>
  <c r="D218" i="2" l="1"/>
  <c r="R218" i="1"/>
  <c r="B218" i="2" s="1"/>
  <c r="C218" i="2" s="1"/>
  <c r="Q219" i="1"/>
  <c r="A219" i="2" s="1"/>
  <c r="D219" i="2" l="1"/>
  <c r="R219" i="1"/>
  <c r="B219" i="2" s="1"/>
  <c r="C219" i="2" s="1"/>
  <c r="Q220" i="1"/>
  <c r="A220" i="2" s="1"/>
  <c r="D220" i="2" l="1"/>
  <c r="R220" i="1"/>
  <c r="B220" i="2" s="1"/>
  <c r="C220" i="2" s="1"/>
  <c r="Q221" i="1"/>
  <c r="A221" i="2" s="1"/>
  <c r="D221" i="2" l="1"/>
  <c r="R221" i="1"/>
  <c r="B221" i="2" s="1"/>
  <c r="C221" i="2" s="1"/>
</calcChain>
</file>

<file path=xl/sharedStrings.xml><?xml version="1.0" encoding="utf-8"?>
<sst xmlns="http://schemas.openxmlformats.org/spreadsheetml/2006/main" count="29" uniqueCount="22">
  <si>
    <t>Dist. Entre puntos</t>
  </si>
  <si>
    <t>postes</t>
  </si>
  <si>
    <t>Vano máximo</t>
  </si>
  <si>
    <t>Vano</t>
  </si>
  <si>
    <t>N° de vanos</t>
  </si>
  <si>
    <t>X</t>
  </si>
  <si>
    <t>Y</t>
  </si>
  <si>
    <t>(m)</t>
  </si>
  <si>
    <t>adyacente</t>
  </si>
  <si>
    <t>opuesto</t>
  </si>
  <si>
    <t>Distancia</t>
  </si>
  <si>
    <t>Coseno</t>
  </si>
  <si>
    <t>Angulo (radianes)</t>
  </si>
  <si>
    <t>(CARGAR)</t>
  </si>
  <si>
    <t>Angulo (Grados)</t>
  </si>
  <si>
    <t>INGRESAR COORDENADAS</t>
  </si>
  <si>
    <t xml:space="preserve">Punto inicial </t>
  </si>
  <si>
    <t>Punto final</t>
  </si>
  <si>
    <t>Dirección</t>
  </si>
  <si>
    <t>OESTE</t>
  </si>
  <si>
    <t>ESTE</t>
  </si>
  <si>
    <t>SENTIDO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</si>
</sst>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Protection="1">
      <protection hidden="1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/>
    <xf numFmtId="0" fontId="0" fillId="2" borderId="2" xfId="0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2" xfId="0" applyFill="1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/>
    <xf numFmtId="0" fontId="0" fillId="2" borderId="2" xfId="0" applyFill="1" applyBorder="1" applyProtection="1"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2" fontId="0" fillId="0" borderId="2" xfId="0" applyNumberFormat="1" applyBorder="1" applyAlignment="1" applyProtection="1">
      <alignment horizontal="center" vertical="center"/>
      <protection hidden="1"/>
    </xf>
    <xf numFmtId="2" fontId="0" fillId="4" borderId="2" xfId="0" applyNumberFormat="1" applyFill="1" applyBorder="1" applyAlignment="1" applyProtection="1">
      <alignment horizontal="center" vertical="center"/>
      <protection hidden="1"/>
    </xf>
    <xf numFmtId="0" fontId="1" fillId="2" borderId="1" xfId="0" applyFont="1" applyFill="1" applyBorder="1" applyAlignment="1">
      <alignment horizontal="center"/>
    </xf>
    <xf numFmtId="49" fontId="0" fillId="3" borderId="2" xfId="0" applyNumberFormat="1" applyFill="1" applyBorder="1" applyAlignment="1" applyProtection="1">
      <alignment horizontal="center" vertical="center"/>
      <protection hidden="1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91F09372-412C-421D-818C-805DE476022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180975</xdr:rowOff>
        </xdr:from>
        <xdr:to>
          <xdr:col>4</xdr:col>
          <xdr:colOff>1190625</xdr:colOff>
          <xdr:row>14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43F24-AC30-4AB7-A08F-FF094029570F}">
  <sheetPr codeName="Hoja1"/>
  <dimension ref="A1:R221"/>
  <sheetViews>
    <sheetView tabSelected="1" workbookViewId="0">
      <selection activeCell="H5" sqref="H5"/>
    </sheetView>
  </sheetViews>
  <sheetFormatPr baseColWidth="10" defaultRowHeight="15" x14ac:dyDescent="0.25"/>
  <cols>
    <col min="1" max="1" width="12.85546875" customWidth="1"/>
    <col min="2" max="2" width="12" customWidth="1"/>
    <col min="3" max="3" width="13" customWidth="1"/>
    <col min="4" max="4" width="15.5703125" customWidth="1"/>
    <col min="5" max="5" width="18" customWidth="1"/>
    <col min="6" max="6" width="16.85546875" bestFit="1" customWidth="1"/>
    <col min="7" max="7" width="10.5703125" customWidth="1"/>
    <col min="8" max="8" width="13.140625" bestFit="1" customWidth="1"/>
    <col min="9" max="9" width="8.140625" customWidth="1"/>
    <col min="10" max="10" width="12" hidden="1" customWidth="1"/>
    <col min="11" max="11" width="10.140625" hidden="1" customWidth="1"/>
    <col min="12" max="12" width="8.28515625" hidden="1" customWidth="1"/>
    <col min="13" max="13" width="12" hidden="1" customWidth="1"/>
    <col min="14" max="14" width="12.7109375" hidden="1" customWidth="1"/>
    <col min="15" max="15" width="16.85546875" hidden="1" customWidth="1"/>
    <col min="16" max="16" width="4" hidden="1" customWidth="1"/>
    <col min="17" max="17" width="11" hidden="1" customWidth="1"/>
    <col min="18" max="18" width="12" hidden="1" customWidth="1"/>
  </cols>
  <sheetData>
    <row r="1" spans="1:18" x14ac:dyDescent="0.25">
      <c r="P1" s="1">
        <v>1</v>
      </c>
      <c r="Q1" s="1">
        <f>IF($G$4="ERROR","",$C$11+($I$4*COS($O$4)))</f>
        <v>5518547.6539455783</v>
      </c>
      <c r="R1" s="1">
        <f>IF($G$4="ERROR","",IF($L$4&gt;=0,$D$11+($I$4*SIN($O$4)),$D$11-($I$4*SIN($O$4))))</f>
        <v>6577435.961380952</v>
      </c>
    </row>
    <row r="2" spans="1:18" ht="18.75" x14ac:dyDescent="0.3">
      <c r="A2" s="22" t="s">
        <v>15</v>
      </c>
      <c r="B2" s="23"/>
      <c r="C2" s="23"/>
      <c r="D2" s="24"/>
      <c r="E2" s="11" t="s">
        <v>21</v>
      </c>
      <c r="F2" s="20" t="s">
        <v>0</v>
      </c>
      <c r="G2" s="20" t="s">
        <v>1</v>
      </c>
      <c r="H2" s="3" t="s">
        <v>2</v>
      </c>
      <c r="I2" s="4" t="s">
        <v>3</v>
      </c>
      <c r="J2" s="4" t="s">
        <v>4</v>
      </c>
      <c r="P2" s="1">
        <v>2</v>
      </c>
      <c r="Q2" s="1">
        <f>IF($G$4="ERROR","",IF(P2&lt;=$G$4,Q1+($I$4*COS($O$4)),""))</f>
        <v>5518554.2478911569</v>
      </c>
      <c r="R2" s="1">
        <f>IF($G$4="ERROR","",IF((P2&lt;=$G$4),IF($L$4&gt;=0,R1+($I$4*SIN($O$4)),R1-($I$4*SIN($O$4))),""))</f>
        <v>6577443.4187619044</v>
      </c>
    </row>
    <row r="3" spans="1:18" x14ac:dyDescent="0.25">
      <c r="A3" s="18" t="s">
        <v>16</v>
      </c>
      <c r="B3" s="18"/>
      <c r="C3" s="18" t="s">
        <v>17</v>
      </c>
      <c r="D3" s="18"/>
      <c r="E3" s="2" t="s">
        <v>18</v>
      </c>
      <c r="F3" s="21"/>
      <c r="G3" s="21"/>
      <c r="H3" s="5" t="s">
        <v>7</v>
      </c>
      <c r="I3" s="6" t="s">
        <v>7</v>
      </c>
      <c r="J3" s="7"/>
      <c r="K3" s="8" t="s">
        <v>8</v>
      </c>
      <c r="L3" s="8" t="s">
        <v>9</v>
      </c>
      <c r="M3" s="8" t="s">
        <v>10</v>
      </c>
      <c r="N3" s="8" t="s">
        <v>11</v>
      </c>
      <c r="O3" s="8" t="s">
        <v>12</v>
      </c>
      <c r="P3" s="1">
        <v>3</v>
      </c>
      <c r="Q3" s="1">
        <f t="shared" ref="Q3:Q66" si="0">IF($G$4="ERROR","",IF(P3&lt;=$G$4,Q2+($I$4*COS($O$4)),""))</f>
        <v>5518560.8418367356</v>
      </c>
      <c r="R3" s="1">
        <f t="shared" ref="R3:R66" si="1">IF($G$4="ERROR","",IF((P3&lt;=$G$4),IF($L$4&gt;=0,R2+($I$4*SIN($O$4)),R2-($I$4*SIN($O$4))),""))</f>
        <v>6577450.8761428567</v>
      </c>
    </row>
    <row r="4" spans="1:18" x14ac:dyDescent="0.25">
      <c r="A4" s="6" t="s">
        <v>5</v>
      </c>
      <c r="B4" s="6" t="s">
        <v>6</v>
      </c>
      <c r="C4" s="6" t="s">
        <v>5</v>
      </c>
      <c r="D4" s="6" t="s">
        <v>6</v>
      </c>
      <c r="E4" s="19" t="str">
        <f>IF($A$5&gt;=$C$5,"OESTE","ESTE")</f>
        <v>ESTE</v>
      </c>
      <c r="F4" s="16">
        <f>M4</f>
        <v>1463.3157729371833</v>
      </c>
      <c r="G4" s="9">
        <f>IF(H4&lt;F4,(ROUNDUP(J4,0)-1),"ERROR")</f>
        <v>146</v>
      </c>
      <c r="H4" s="15">
        <v>10</v>
      </c>
      <c r="I4" s="17">
        <f>IF(G4="ERROR","",M4/(G4+1))</f>
        <v>9.9545290675998856</v>
      </c>
      <c r="J4" s="6">
        <f>F4/H4</f>
        <v>146.33157729371834</v>
      </c>
      <c r="K4" s="9">
        <f>IF($E$4="ESTE",MAX($A$11,$C$11)-MIN($A$11,$C$11),MIN($A$11,$C$11)-MAX($A$11,$C$11))</f>
        <v>969.31000000052154</v>
      </c>
      <c r="L4" s="9">
        <f>$B$11-$D$11</f>
        <v>1096.2350000003353</v>
      </c>
      <c r="M4" s="9">
        <f>SQRT(L4^2+K4^2)</f>
        <v>1463.3157729371833</v>
      </c>
      <c r="N4" s="9">
        <f>K4/M4</f>
        <v>0.66240658231607252</v>
      </c>
      <c r="O4" s="9">
        <f>ACOS(N4)</f>
        <v>0.84676966934549569</v>
      </c>
      <c r="P4" s="1">
        <v>4</v>
      </c>
      <c r="Q4" s="1">
        <f t="shared" si="0"/>
        <v>5518567.4357823143</v>
      </c>
      <c r="R4" s="1">
        <f t="shared" si="1"/>
        <v>6577458.333523809</v>
      </c>
    </row>
    <row r="5" spans="1:18" x14ac:dyDescent="0.25">
      <c r="A5" s="14">
        <v>5518541.0599999996</v>
      </c>
      <c r="B5" s="14">
        <v>6577428.5039999997</v>
      </c>
      <c r="C5" s="14">
        <v>5519510.3700000001</v>
      </c>
      <c r="D5" s="14">
        <v>6578524.7390000001</v>
      </c>
      <c r="E5" s="19"/>
      <c r="G5" s="10"/>
      <c r="H5" s="10" t="s">
        <v>13</v>
      </c>
      <c r="K5" s="1"/>
      <c r="L5" s="1"/>
      <c r="O5" s="8" t="s">
        <v>14</v>
      </c>
      <c r="P5" s="1">
        <v>5</v>
      </c>
      <c r="Q5" s="1">
        <f t="shared" si="0"/>
        <v>5518574.029727893</v>
      </c>
      <c r="R5" s="1">
        <f t="shared" si="1"/>
        <v>6577465.7909047613</v>
      </c>
    </row>
    <row r="6" spans="1:18" x14ac:dyDescent="0.25">
      <c r="K6" s="1"/>
      <c r="L6" s="1"/>
      <c r="M6" s="1"/>
      <c r="N6" s="1"/>
      <c r="O6" s="9">
        <f>O4*180/PI()</f>
        <v>48.516328273185145</v>
      </c>
      <c r="P6" s="1">
        <v>6</v>
      </c>
      <c r="Q6" s="1">
        <f t="shared" si="0"/>
        <v>5518580.6236734716</v>
      </c>
      <c r="R6" s="1">
        <f t="shared" si="1"/>
        <v>6577473.2482857136</v>
      </c>
    </row>
    <row r="7" spans="1:18" x14ac:dyDescent="0.25">
      <c r="P7" s="1">
        <v>7</v>
      </c>
      <c r="Q7" s="1">
        <f t="shared" si="0"/>
        <v>5518587.2176190503</v>
      </c>
      <c r="R7" s="1">
        <f t="shared" si="1"/>
        <v>6577480.7056666659</v>
      </c>
    </row>
    <row r="8" spans="1:18" x14ac:dyDescent="0.25">
      <c r="P8" s="1">
        <v>8</v>
      </c>
      <c r="Q8" s="1">
        <f t="shared" si="0"/>
        <v>5518593.811564629</v>
      </c>
      <c r="R8" s="1">
        <f t="shared" si="1"/>
        <v>6577488.1630476182</v>
      </c>
    </row>
    <row r="9" spans="1:18" hidden="1" x14ac:dyDescent="0.25">
      <c r="A9" s="18" t="str">
        <f>IF($C$5=$A$11,C3,A3)</f>
        <v>Punto final</v>
      </c>
      <c r="B9" s="18"/>
      <c r="C9" s="18" t="str">
        <f>IF($A$5=$C$11,A3,C3)</f>
        <v xml:space="preserve">Punto inicial </v>
      </c>
      <c r="D9" s="18"/>
      <c r="P9" s="1">
        <v>9</v>
      </c>
      <c r="Q9" s="1">
        <f t="shared" si="0"/>
        <v>5518600.4055102076</v>
      </c>
      <c r="R9" s="1">
        <f t="shared" si="1"/>
        <v>6577495.6204285705</v>
      </c>
    </row>
    <row r="10" spans="1:18" hidden="1" x14ac:dyDescent="0.25">
      <c r="A10" s="12" t="s">
        <v>5</v>
      </c>
      <c r="B10" s="12" t="s">
        <v>6</v>
      </c>
      <c r="C10" s="12" t="s">
        <v>5</v>
      </c>
      <c r="D10" s="12" t="s">
        <v>6</v>
      </c>
      <c r="P10" s="1">
        <v>10</v>
      </c>
      <c r="Q10" s="1">
        <f t="shared" si="0"/>
        <v>5518606.9994557863</v>
      </c>
      <c r="R10" s="1">
        <f t="shared" si="1"/>
        <v>6577503.0778095229</v>
      </c>
    </row>
    <row r="11" spans="1:18" hidden="1" x14ac:dyDescent="0.25">
      <c r="A11" s="13">
        <f>IF($E$4="ESTE",MAX($A$5,$C$5),IF($E$4="OESTE",MIN($A$5,$C$5)))</f>
        <v>5519510.3700000001</v>
      </c>
      <c r="B11" s="13">
        <f>IF($A$11=$A$5,$B$5,$D$5)</f>
        <v>6578524.7390000001</v>
      </c>
      <c r="C11" s="13">
        <f>IF($A$11=$A$5,$C$5,$A$5)</f>
        <v>5518541.0599999996</v>
      </c>
      <c r="D11" s="13">
        <f>IF($B$11=$B$5,$D$5,$B$5)</f>
        <v>6577428.5039999997</v>
      </c>
      <c r="P11" s="1">
        <v>11</v>
      </c>
      <c r="Q11" s="1">
        <f t="shared" si="0"/>
        <v>5518613.593401365</v>
      </c>
      <c r="R11" s="1">
        <f t="shared" si="1"/>
        <v>6577510.5351904752</v>
      </c>
    </row>
    <row r="12" spans="1:18" x14ac:dyDescent="0.25">
      <c r="P12" s="1">
        <v>12</v>
      </c>
      <c r="Q12" s="1">
        <f t="shared" si="0"/>
        <v>5518620.1873469437</v>
      </c>
      <c r="R12" s="1">
        <f t="shared" si="1"/>
        <v>6577517.9925714275</v>
      </c>
    </row>
    <row r="13" spans="1:18" x14ac:dyDescent="0.25">
      <c r="P13" s="1">
        <v>13</v>
      </c>
      <c r="Q13" s="1">
        <f t="shared" si="0"/>
        <v>5518626.7812925223</v>
      </c>
      <c r="R13" s="1">
        <f t="shared" si="1"/>
        <v>6577525.4499523798</v>
      </c>
    </row>
    <row r="14" spans="1:18" x14ac:dyDescent="0.25">
      <c r="P14" s="1">
        <v>14</v>
      </c>
      <c r="Q14" s="1">
        <f t="shared" si="0"/>
        <v>5518633.375238101</v>
      </c>
      <c r="R14" s="1">
        <f t="shared" si="1"/>
        <v>6577532.9073333321</v>
      </c>
    </row>
    <row r="15" spans="1:18" x14ac:dyDescent="0.25">
      <c r="P15" s="1">
        <v>15</v>
      </c>
      <c r="Q15" s="1">
        <f t="shared" si="0"/>
        <v>5518639.9691836797</v>
      </c>
      <c r="R15" s="1">
        <f t="shared" si="1"/>
        <v>6577540.3647142844</v>
      </c>
    </row>
    <row r="16" spans="1:18" x14ac:dyDescent="0.25">
      <c r="P16" s="1">
        <v>16</v>
      </c>
      <c r="Q16" s="1">
        <f t="shared" si="0"/>
        <v>5518646.5631292583</v>
      </c>
      <c r="R16" s="1">
        <f t="shared" si="1"/>
        <v>6577547.8220952367</v>
      </c>
    </row>
    <row r="17" spans="16:18" x14ac:dyDescent="0.25">
      <c r="P17" s="1">
        <v>17</v>
      </c>
      <c r="Q17" s="1">
        <f t="shared" si="0"/>
        <v>5518653.157074837</v>
      </c>
      <c r="R17" s="1">
        <f t="shared" si="1"/>
        <v>6577555.2794761891</v>
      </c>
    </row>
    <row r="18" spans="16:18" x14ac:dyDescent="0.25">
      <c r="P18" s="1">
        <v>18</v>
      </c>
      <c r="Q18" s="1">
        <f t="shared" si="0"/>
        <v>5518659.7510204157</v>
      </c>
      <c r="R18" s="1">
        <f t="shared" si="1"/>
        <v>6577562.7368571414</v>
      </c>
    </row>
    <row r="19" spans="16:18" x14ac:dyDescent="0.25">
      <c r="P19" s="1">
        <v>19</v>
      </c>
      <c r="Q19" s="1">
        <f t="shared" si="0"/>
        <v>5518666.3449659944</v>
      </c>
      <c r="R19" s="1">
        <f t="shared" si="1"/>
        <v>6577570.1942380937</v>
      </c>
    </row>
    <row r="20" spans="16:18" x14ac:dyDescent="0.25">
      <c r="P20" s="1">
        <v>20</v>
      </c>
      <c r="Q20" s="1">
        <f t="shared" si="0"/>
        <v>5518672.938911573</v>
      </c>
      <c r="R20" s="1">
        <f t="shared" si="1"/>
        <v>6577577.651619046</v>
      </c>
    </row>
    <row r="21" spans="16:18" x14ac:dyDescent="0.25">
      <c r="P21" s="1">
        <v>21</v>
      </c>
      <c r="Q21" s="1">
        <f t="shared" si="0"/>
        <v>5518679.5328571517</v>
      </c>
      <c r="R21" s="1">
        <f t="shared" si="1"/>
        <v>6577585.1089999983</v>
      </c>
    </row>
    <row r="22" spans="16:18" x14ac:dyDescent="0.25">
      <c r="P22" s="1">
        <v>22</v>
      </c>
      <c r="Q22" s="1">
        <f t="shared" si="0"/>
        <v>5518686.1268027304</v>
      </c>
      <c r="R22" s="1">
        <f t="shared" si="1"/>
        <v>6577592.5663809506</v>
      </c>
    </row>
    <row r="23" spans="16:18" x14ac:dyDescent="0.25">
      <c r="P23" s="1">
        <v>23</v>
      </c>
      <c r="Q23" s="1">
        <f t="shared" si="0"/>
        <v>5518692.720748309</v>
      </c>
      <c r="R23" s="1">
        <f t="shared" si="1"/>
        <v>6577600.0237619029</v>
      </c>
    </row>
    <row r="24" spans="16:18" x14ac:dyDescent="0.25">
      <c r="P24" s="1">
        <v>24</v>
      </c>
      <c r="Q24" s="1">
        <f t="shared" si="0"/>
        <v>5518699.3146938877</v>
      </c>
      <c r="R24" s="1">
        <f t="shared" si="1"/>
        <v>6577607.4811428552</v>
      </c>
    </row>
    <row r="25" spans="16:18" x14ac:dyDescent="0.25">
      <c r="P25" s="1">
        <v>25</v>
      </c>
      <c r="Q25" s="1">
        <f t="shared" si="0"/>
        <v>5518705.9086394664</v>
      </c>
      <c r="R25" s="1">
        <f t="shared" si="1"/>
        <v>6577614.9385238076</v>
      </c>
    </row>
    <row r="26" spans="16:18" x14ac:dyDescent="0.25">
      <c r="P26" s="1">
        <v>26</v>
      </c>
      <c r="Q26" s="1">
        <f t="shared" si="0"/>
        <v>5518712.5025850451</v>
      </c>
      <c r="R26" s="1">
        <f t="shared" si="1"/>
        <v>6577622.3959047599</v>
      </c>
    </row>
    <row r="27" spans="16:18" x14ac:dyDescent="0.25">
      <c r="P27" s="1">
        <v>27</v>
      </c>
      <c r="Q27" s="1">
        <f t="shared" si="0"/>
        <v>5518719.0965306237</v>
      </c>
      <c r="R27" s="1">
        <f t="shared" si="1"/>
        <v>6577629.8532857122</v>
      </c>
    </row>
    <row r="28" spans="16:18" x14ac:dyDescent="0.25">
      <c r="P28" s="1">
        <v>28</v>
      </c>
      <c r="Q28" s="1">
        <f t="shared" si="0"/>
        <v>5518725.6904762024</v>
      </c>
      <c r="R28" s="1">
        <f t="shared" si="1"/>
        <v>6577637.3106666645</v>
      </c>
    </row>
    <row r="29" spans="16:18" x14ac:dyDescent="0.25">
      <c r="P29" s="1">
        <v>29</v>
      </c>
      <c r="Q29" s="1">
        <f t="shared" si="0"/>
        <v>5518732.2844217811</v>
      </c>
      <c r="R29" s="1">
        <f t="shared" si="1"/>
        <v>6577644.7680476168</v>
      </c>
    </row>
    <row r="30" spans="16:18" x14ac:dyDescent="0.25">
      <c r="P30" s="1">
        <v>30</v>
      </c>
      <c r="Q30" s="1">
        <f t="shared" si="0"/>
        <v>5518738.8783673597</v>
      </c>
      <c r="R30" s="1">
        <f t="shared" si="1"/>
        <v>6577652.2254285691</v>
      </c>
    </row>
    <row r="31" spans="16:18" x14ac:dyDescent="0.25">
      <c r="P31" s="1">
        <v>31</v>
      </c>
      <c r="Q31" s="1">
        <f t="shared" si="0"/>
        <v>5518745.4723129384</v>
      </c>
      <c r="R31" s="1">
        <f t="shared" si="1"/>
        <v>6577659.6828095214</v>
      </c>
    </row>
    <row r="32" spans="16:18" x14ac:dyDescent="0.25">
      <c r="P32" s="1">
        <v>32</v>
      </c>
      <c r="Q32" s="1">
        <f t="shared" si="0"/>
        <v>5518752.0662585171</v>
      </c>
      <c r="R32" s="1">
        <f t="shared" si="1"/>
        <v>6577667.1401904738</v>
      </c>
    </row>
    <row r="33" spans="1:18" x14ac:dyDescent="0.25">
      <c r="P33" s="1">
        <v>33</v>
      </c>
      <c r="Q33" s="1">
        <f t="shared" si="0"/>
        <v>5518758.6602040958</v>
      </c>
      <c r="R33" s="1">
        <f t="shared" si="1"/>
        <v>6577674.5975714261</v>
      </c>
    </row>
    <row r="34" spans="1:18" x14ac:dyDescent="0.25">
      <c r="P34" s="1">
        <v>34</v>
      </c>
      <c r="Q34" s="1">
        <f t="shared" si="0"/>
        <v>5518765.2541496744</v>
      </c>
      <c r="R34" s="1">
        <f t="shared" si="1"/>
        <v>6577682.0549523784</v>
      </c>
    </row>
    <row r="35" spans="1:18" x14ac:dyDescent="0.25">
      <c r="P35" s="1">
        <v>35</v>
      </c>
      <c r="Q35" s="1">
        <f t="shared" si="0"/>
        <v>5518771.8480952531</v>
      </c>
      <c r="R35" s="1">
        <f t="shared" si="1"/>
        <v>6577689.5123333307</v>
      </c>
    </row>
    <row r="36" spans="1:18" x14ac:dyDescent="0.25">
      <c r="P36" s="1">
        <v>36</v>
      </c>
      <c r="Q36" s="1">
        <f t="shared" si="0"/>
        <v>5518778.4420408318</v>
      </c>
      <c r="R36" s="1">
        <f t="shared" si="1"/>
        <v>6577696.969714283</v>
      </c>
    </row>
    <row r="37" spans="1:18" x14ac:dyDescent="0.25">
      <c r="P37" s="1">
        <v>37</v>
      </c>
      <c r="Q37" s="1">
        <f t="shared" si="0"/>
        <v>5518785.0359864105</v>
      </c>
      <c r="R37" s="1">
        <f t="shared" si="1"/>
        <v>6577704.4270952353</v>
      </c>
    </row>
    <row r="38" spans="1:18" x14ac:dyDescent="0.25">
      <c r="P38" s="1">
        <v>38</v>
      </c>
      <c r="Q38" s="1">
        <f t="shared" si="0"/>
        <v>5518791.6299319891</v>
      </c>
      <c r="R38" s="1">
        <f t="shared" si="1"/>
        <v>6577711.8844761876</v>
      </c>
    </row>
    <row r="39" spans="1:18" x14ac:dyDescent="0.25">
      <c r="P39" s="1">
        <v>39</v>
      </c>
      <c r="Q39" s="1">
        <f t="shared" si="0"/>
        <v>5518798.2238775678</v>
      </c>
      <c r="R39" s="1">
        <f t="shared" si="1"/>
        <v>6577719.34185714</v>
      </c>
    </row>
    <row r="40" spans="1:18" x14ac:dyDescent="0.25">
      <c r="P40" s="1">
        <v>40</v>
      </c>
      <c r="Q40" s="1">
        <f t="shared" si="0"/>
        <v>5518804.8178231465</v>
      </c>
      <c r="R40" s="1">
        <f t="shared" si="1"/>
        <v>6577726.7992380923</v>
      </c>
    </row>
    <row r="41" spans="1:18" x14ac:dyDescent="0.25">
      <c r="A41" t="s">
        <v>19</v>
      </c>
      <c r="P41" s="1">
        <v>41</v>
      </c>
      <c r="Q41" s="1">
        <f t="shared" si="0"/>
        <v>5518811.4117687251</v>
      </c>
      <c r="R41" s="1">
        <f t="shared" si="1"/>
        <v>6577734.2566190446</v>
      </c>
    </row>
    <row r="42" spans="1:18" x14ac:dyDescent="0.25">
      <c r="A42" t="s">
        <v>20</v>
      </c>
      <c r="P42" s="1">
        <v>42</v>
      </c>
      <c r="Q42" s="1">
        <f t="shared" si="0"/>
        <v>5518818.0057143038</v>
      </c>
      <c r="R42" s="1">
        <f t="shared" si="1"/>
        <v>6577741.7139999969</v>
      </c>
    </row>
    <row r="43" spans="1:18" x14ac:dyDescent="0.25">
      <c r="P43" s="1">
        <v>43</v>
      </c>
      <c r="Q43" s="1">
        <f t="shared" si="0"/>
        <v>5518824.5996598825</v>
      </c>
      <c r="R43" s="1">
        <f t="shared" si="1"/>
        <v>6577749.1713809492</v>
      </c>
    </row>
    <row r="44" spans="1:18" x14ac:dyDescent="0.25">
      <c r="P44" s="1">
        <v>44</v>
      </c>
      <c r="Q44" s="1">
        <f t="shared" si="0"/>
        <v>5518831.1936054612</v>
      </c>
      <c r="R44" s="1">
        <f t="shared" si="1"/>
        <v>6577756.6287619015</v>
      </c>
    </row>
    <row r="45" spans="1:18" x14ac:dyDescent="0.25">
      <c r="P45" s="1">
        <v>45</v>
      </c>
      <c r="Q45" s="1">
        <f t="shared" si="0"/>
        <v>5518837.7875510398</v>
      </c>
      <c r="R45" s="1">
        <f t="shared" si="1"/>
        <v>6577764.0861428538</v>
      </c>
    </row>
    <row r="46" spans="1:18" x14ac:dyDescent="0.25">
      <c r="P46" s="1">
        <v>46</v>
      </c>
      <c r="Q46" s="1">
        <f t="shared" si="0"/>
        <v>5518844.3814966185</v>
      </c>
      <c r="R46" s="1">
        <f t="shared" si="1"/>
        <v>6577771.5435238061</v>
      </c>
    </row>
    <row r="47" spans="1:18" x14ac:dyDescent="0.25">
      <c r="P47" s="1">
        <v>47</v>
      </c>
      <c r="Q47" s="1">
        <f t="shared" si="0"/>
        <v>5518850.9754421972</v>
      </c>
      <c r="R47" s="1">
        <f t="shared" si="1"/>
        <v>6577779.0009047585</v>
      </c>
    </row>
    <row r="48" spans="1:18" x14ac:dyDescent="0.25">
      <c r="P48" s="1">
        <v>48</v>
      </c>
      <c r="Q48" s="1">
        <f t="shared" si="0"/>
        <v>5518857.5693877758</v>
      </c>
      <c r="R48" s="1">
        <f t="shared" si="1"/>
        <v>6577786.4582857108</v>
      </c>
    </row>
    <row r="49" spans="16:18" x14ac:dyDescent="0.25">
      <c r="P49" s="1">
        <v>49</v>
      </c>
      <c r="Q49" s="1">
        <f t="shared" si="0"/>
        <v>5518864.1633333545</v>
      </c>
      <c r="R49" s="1">
        <f t="shared" si="1"/>
        <v>6577793.9156666631</v>
      </c>
    </row>
    <row r="50" spans="16:18" x14ac:dyDescent="0.25">
      <c r="P50" s="1">
        <v>50</v>
      </c>
      <c r="Q50" s="1">
        <f t="shared" si="0"/>
        <v>5518870.7572789332</v>
      </c>
      <c r="R50" s="1">
        <f t="shared" si="1"/>
        <v>6577801.3730476154</v>
      </c>
    </row>
    <row r="51" spans="16:18" x14ac:dyDescent="0.25">
      <c r="P51" s="1">
        <v>51</v>
      </c>
      <c r="Q51" s="1">
        <f t="shared" si="0"/>
        <v>5518877.3512245119</v>
      </c>
      <c r="R51" s="1">
        <f t="shared" si="1"/>
        <v>6577808.8304285677</v>
      </c>
    </row>
    <row r="52" spans="16:18" x14ac:dyDescent="0.25">
      <c r="P52" s="1">
        <v>52</v>
      </c>
      <c r="Q52" s="1">
        <f t="shared" si="0"/>
        <v>5518883.9451700905</v>
      </c>
      <c r="R52" s="1">
        <f t="shared" si="1"/>
        <v>6577816.28780952</v>
      </c>
    </row>
    <row r="53" spans="16:18" x14ac:dyDescent="0.25">
      <c r="P53" s="1">
        <v>53</v>
      </c>
      <c r="Q53" s="1">
        <f t="shared" si="0"/>
        <v>5518890.5391156692</v>
      </c>
      <c r="R53" s="1">
        <f t="shared" si="1"/>
        <v>6577823.7451904723</v>
      </c>
    </row>
    <row r="54" spans="16:18" x14ac:dyDescent="0.25">
      <c r="P54" s="1">
        <v>54</v>
      </c>
      <c r="Q54" s="1">
        <f t="shared" si="0"/>
        <v>5518897.1330612479</v>
      </c>
      <c r="R54" s="1">
        <f t="shared" si="1"/>
        <v>6577831.2025714247</v>
      </c>
    </row>
    <row r="55" spans="16:18" x14ac:dyDescent="0.25">
      <c r="P55" s="1">
        <v>55</v>
      </c>
      <c r="Q55" s="1">
        <f t="shared" si="0"/>
        <v>5518903.7270068265</v>
      </c>
      <c r="R55" s="1">
        <f t="shared" si="1"/>
        <v>6577838.659952377</v>
      </c>
    </row>
    <row r="56" spans="16:18" x14ac:dyDescent="0.25">
      <c r="P56" s="1">
        <v>56</v>
      </c>
      <c r="Q56" s="1">
        <f t="shared" si="0"/>
        <v>5518910.3209524052</v>
      </c>
      <c r="R56" s="1">
        <f t="shared" si="1"/>
        <v>6577846.1173333293</v>
      </c>
    </row>
    <row r="57" spans="16:18" x14ac:dyDescent="0.25">
      <c r="P57" s="1">
        <v>57</v>
      </c>
      <c r="Q57" s="1">
        <f t="shared" si="0"/>
        <v>5518916.9148979839</v>
      </c>
      <c r="R57" s="1">
        <f t="shared" si="1"/>
        <v>6577853.5747142816</v>
      </c>
    </row>
    <row r="58" spans="16:18" x14ac:dyDescent="0.25">
      <c r="P58" s="1">
        <v>58</v>
      </c>
      <c r="Q58" s="1">
        <f t="shared" si="0"/>
        <v>5518923.5088435626</v>
      </c>
      <c r="R58" s="1">
        <f t="shared" si="1"/>
        <v>6577861.0320952339</v>
      </c>
    </row>
    <row r="59" spans="16:18" x14ac:dyDescent="0.25">
      <c r="P59" s="1">
        <v>59</v>
      </c>
      <c r="Q59" s="1">
        <f t="shared" si="0"/>
        <v>5518930.1027891412</v>
      </c>
      <c r="R59" s="1">
        <f t="shared" si="1"/>
        <v>6577868.4894761862</v>
      </c>
    </row>
    <row r="60" spans="16:18" x14ac:dyDescent="0.25">
      <c r="P60" s="1">
        <v>60</v>
      </c>
      <c r="Q60" s="1">
        <f t="shared" si="0"/>
        <v>5518936.6967347199</v>
      </c>
      <c r="R60" s="1">
        <f t="shared" si="1"/>
        <v>6577875.9468571385</v>
      </c>
    </row>
    <row r="61" spans="16:18" x14ac:dyDescent="0.25">
      <c r="P61" s="1">
        <v>61</v>
      </c>
      <c r="Q61" s="1">
        <f t="shared" si="0"/>
        <v>5518943.2906802986</v>
      </c>
      <c r="R61" s="1">
        <f t="shared" si="1"/>
        <v>6577883.4042380909</v>
      </c>
    </row>
    <row r="62" spans="16:18" x14ac:dyDescent="0.25">
      <c r="P62" s="1">
        <v>62</v>
      </c>
      <c r="Q62" s="1">
        <f t="shared" si="0"/>
        <v>5518949.8846258773</v>
      </c>
      <c r="R62" s="1">
        <f t="shared" si="1"/>
        <v>6577890.8616190432</v>
      </c>
    </row>
    <row r="63" spans="16:18" x14ac:dyDescent="0.25">
      <c r="P63" s="1">
        <v>63</v>
      </c>
      <c r="Q63" s="1">
        <f t="shared" si="0"/>
        <v>5518956.4785714559</v>
      </c>
      <c r="R63" s="1">
        <f t="shared" si="1"/>
        <v>6577898.3189999955</v>
      </c>
    </row>
    <row r="64" spans="16:18" x14ac:dyDescent="0.25">
      <c r="P64" s="1">
        <v>64</v>
      </c>
      <c r="Q64" s="1">
        <f t="shared" si="0"/>
        <v>5518963.0725170346</v>
      </c>
      <c r="R64" s="1">
        <f t="shared" si="1"/>
        <v>6577905.7763809478</v>
      </c>
    </row>
    <row r="65" spans="16:18" x14ac:dyDescent="0.25">
      <c r="P65" s="1">
        <v>65</v>
      </c>
      <c r="Q65" s="1">
        <f t="shared" si="0"/>
        <v>5518969.6664626133</v>
      </c>
      <c r="R65" s="1">
        <f t="shared" si="1"/>
        <v>6577913.2337619001</v>
      </c>
    </row>
    <row r="66" spans="16:18" x14ac:dyDescent="0.25">
      <c r="P66" s="1">
        <v>66</v>
      </c>
      <c r="Q66" s="1">
        <f t="shared" si="0"/>
        <v>5518976.2604081919</v>
      </c>
      <c r="R66" s="1">
        <f t="shared" si="1"/>
        <v>6577920.6911428524</v>
      </c>
    </row>
    <row r="67" spans="16:18" x14ac:dyDescent="0.25">
      <c r="P67" s="1">
        <v>67</v>
      </c>
      <c r="Q67" s="1">
        <f t="shared" ref="Q67:Q130" si="2">IF($G$4="ERROR","",IF(P67&lt;=$G$4,Q66+($I$4*COS($O$4)),""))</f>
        <v>5518982.8543537706</v>
      </c>
      <c r="R67" s="1">
        <f t="shared" ref="R67:R130" si="3">IF($G$4="ERROR","",IF((P67&lt;=$G$4),IF($L$4&gt;=0,R66+($I$4*SIN($O$4)),R66-($I$4*SIN($O$4))),""))</f>
        <v>6577928.1485238047</v>
      </c>
    </row>
    <row r="68" spans="16:18" x14ac:dyDescent="0.25">
      <c r="P68" s="1">
        <v>68</v>
      </c>
      <c r="Q68" s="1">
        <f t="shared" si="2"/>
        <v>5518989.4482993493</v>
      </c>
      <c r="R68" s="1">
        <f t="shared" si="3"/>
        <v>6577935.605904757</v>
      </c>
    </row>
    <row r="69" spans="16:18" x14ac:dyDescent="0.25">
      <c r="P69" s="1">
        <v>69</v>
      </c>
      <c r="Q69" s="1">
        <f t="shared" si="2"/>
        <v>5518996.042244928</v>
      </c>
      <c r="R69" s="1">
        <f t="shared" si="3"/>
        <v>6577943.0632857094</v>
      </c>
    </row>
    <row r="70" spans="16:18" x14ac:dyDescent="0.25">
      <c r="P70" s="1">
        <v>70</v>
      </c>
      <c r="Q70" s="1">
        <f t="shared" si="2"/>
        <v>5519002.6361905066</v>
      </c>
      <c r="R70" s="1">
        <f t="shared" si="3"/>
        <v>6577950.5206666617</v>
      </c>
    </row>
    <row r="71" spans="16:18" x14ac:dyDescent="0.25">
      <c r="P71" s="1">
        <v>71</v>
      </c>
      <c r="Q71" s="1">
        <f t="shared" si="2"/>
        <v>5519009.2301360853</v>
      </c>
      <c r="R71" s="1">
        <f t="shared" si="3"/>
        <v>6577957.978047614</v>
      </c>
    </row>
    <row r="72" spans="16:18" x14ac:dyDescent="0.25">
      <c r="P72" s="1">
        <v>72</v>
      </c>
      <c r="Q72" s="1">
        <f t="shared" si="2"/>
        <v>5519015.824081664</v>
      </c>
      <c r="R72" s="1">
        <f t="shared" si="3"/>
        <v>6577965.4354285663</v>
      </c>
    </row>
    <row r="73" spans="16:18" x14ac:dyDescent="0.25">
      <c r="P73" s="1">
        <v>73</v>
      </c>
      <c r="Q73" s="1">
        <f t="shared" si="2"/>
        <v>5519022.4180272426</v>
      </c>
      <c r="R73" s="1">
        <f t="shared" si="3"/>
        <v>6577972.8928095186</v>
      </c>
    </row>
    <row r="74" spans="16:18" x14ac:dyDescent="0.25">
      <c r="P74" s="1">
        <v>74</v>
      </c>
      <c r="Q74" s="1">
        <f t="shared" si="2"/>
        <v>5519029.0119728213</v>
      </c>
      <c r="R74" s="1">
        <f t="shared" si="3"/>
        <v>6577980.3501904709</v>
      </c>
    </row>
    <row r="75" spans="16:18" x14ac:dyDescent="0.25">
      <c r="P75" s="1">
        <v>75</v>
      </c>
      <c r="Q75" s="1">
        <f t="shared" si="2"/>
        <v>5519035.6059184</v>
      </c>
      <c r="R75" s="1">
        <f t="shared" si="3"/>
        <v>6577987.8075714232</v>
      </c>
    </row>
    <row r="76" spans="16:18" x14ac:dyDescent="0.25">
      <c r="P76" s="1">
        <v>76</v>
      </c>
      <c r="Q76" s="1">
        <f t="shared" si="2"/>
        <v>5519042.1998639787</v>
      </c>
      <c r="R76" s="1">
        <f t="shared" si="3"/>
        <v>6577995.2649523756</v>
      </c>
    </row>
    <row r="77" spans="16:18" x14ac:dyDescent="0.25">
      <c r="P77" s="1">
        <v>77</v>
      </c>
      <c r="Q77" s="1">
        <f t="shared" si="2"/>
        <v>5519048.7938095573</v>
      </c>
      <c r="R77" s="1">
        <f t="shared" si="3"/>
        <v>6578002.7223333279</v>
      </c>
    </row>
    <row r="78" spans="16:18" x14ac:dyDescent="0.25">
      <c r="P78" s="1">
        <v>78</v>
      </c>
      <c r="Q78" s="1">
        <f t="shared" si="2"/>
        <v>5519055.387755136</v>
      </c>
      <c r="R78" s="1">
        <f t="shared" si="3"/>
        <v>6578010.1797142802</v>
      </c>
    </row>
    <row r="79" spans="16:18" x14ac:dyDescent="0.25">
      <c r="P79" s="1">
        <v>79</v>
      </c>
      <c r="Q79" s="1">
        <f t="shared" si="2"/>
        <v>5519061.9817007147</v>
      </c>
      <c r="R79" s="1">
        <f t="shared" si="3"/>
        <v>6578017.6370952325</v>
      </c>
    </row>
    <row r="80" spans="16:18" x14ac:dyDescent="0.25">
      <c r="P80" s="1">
        <v>80</v>
      </c>
      <c r="Q80" s="1">
        <f t="shared" si="2"/>
        <v>5519068.5756462933</v>
      </c>
      <c r="R80" s="1">
        <f t="shared" si="3"/>
        <v>6578025.0944761848</v>
      </c>
    </row>
    <row r="81" spans="16:18" x14ac:dyDescent="0.25">
      <c r="P81" s="1">
        <v>81</v>
      </c>
      <c r="Q81" s="1">
        <f t="shared" si="2"/>
        <v>5519075.169591872</v>
      </c>
      <c r="R81" s="1">
        <f t="shared" si="3"/>
        <v>6578032.5518571371</v>
      </c>
    </row>
    <row r="82" spans="16:18" x14ac:dyDescent="0.25">
      <c r="P82" s="1">
        <v>82</v>
      </c>
      <c r="Q82" s="1">
        <f t="shared" si="2"/>
        <v>5519081.7635374507</v>
      </c>
      <c r="R82" s="1">
        <f t="shared" si="3"/>
        <v>6578040.0092380894</v>
      </c>
    </row>
    <row r="83" spans="16:18" x14ac:dyDescent="0.25">
      <c r="P83" s="1">
        <v>83</v>
      </c>
      <c r="Q83" s="1">
        <f t="shared" si="2"/>
        <v>5519088.3574830294</v>
      </c>
      <c r="R83" s="1">
        <f t="shared" si="3"/>
        <v>6578047.4666190417</v>
      </c>
    </row>
    <row r="84" spans="16:18" x14ac:dyDescent="0.25">
      <c r="P84" s="1">
        <v>84</v>
      </c>
      <c r="Q84" s="1">
        <f t="shared" si="2"/>
        <v>5519094.951428608</v>
      </c>
      <c r="R84" s="1">
        <f t="shared" si="3"/>
        <v>6578054.9239999941</v>
      </c>
    </row>
    <row r="85" spans="16:18" x14ac:dyDescent="0.25">
      <c r="P85" s="1">
        <v>85</v>
      </c>
      <c r="Q85" s="1">
        <f t="shared" si="2"/>
        <v>5519101.5453741867</v>
      </c>
      <c r="R85" s="1">
        <f t="shared" si="3"/>
        <v>6578062.3813809464</v>
      </c>
    </row>
    <row r="86" spans="16:18" x14ac:dyDescent="0.25">
      <c r="P86" s="1">
        <v>86</v>
      </c>
      <c r="Q86" s="1">
        <f t="shared" si="2"/>
        <v>5519108.1393197654</v>
      </c>
      <c r="R86" s="1">
        <f t="shared" si="3"/>
        <v>6578069.8387618987</v>
      </c>
    </row>
    <row r="87" spans="16:18" x14ac:dyDescent="0.25">
      <c r="P87" s="1">
        <v>87</v>
      </c>
      <c r="Q87" s="1">
        <f t="shared" si="2"/>
        <v>5519114.7332653441</v>
      </c>
      <c r="R87" s="1">
        <f t="shared" si="3"/>
        <v>6578077.296142851</v>
      </c>
    </row>
    <row r="88" spans="16:18" x14ac:dyDescent="0.25">
      <c r="P88" s="1">
        <v>88</v>
      </c>
      <c r="Q88" s="1">
        <f t="shared" si="2"/>
        <v>5519121.3272109227</v>
      </c>
      <c r="R88" s="1">
        <f t="shared" si="3"/>
        <v>6578084.7535238033</v>
      </c>
    </row>
    <row r="89" spans="16:18" x14ac:dyDescent="0.25">
      <c r="P89" s="1">
        <v>89</v>
      </c>
      <c r="Q89" s="1">
        <f t="shared" si="2"/>
        <v>5519127.9211565014</v>
      </c>
      <c r="R89" s="1">
        <f t="shared" si="3"/>
        <v>6578092.2109047556</v>
      </c>
    </row>
    <row r="90" spans="16:18" x14ac:dyDescent="0.25">
      <c r="P90" s="1">
        <v>90</v>
      </c>
      <c r="Q90" s="1">
        <f t="shared" si="2"/>
        <v>5519134.5151020801</v>
      </c>
      <c r="R90" s="1">
        <f t="shared" si="3"/>
        <v>6578099.6682857079</v>
      </c>
    </row>
    <row r="91" spans="16:18" x14ac:dyDescent="0.25">
      <c r="P91" s="1">
        <v>91</v>
      </c>
      <c r="Q91" s="1">
        <f t="shared" si="2"/>
        <v>5519141.1090476587</v>
      </c>
      <c r="R91" s="1">
        <f t="shared" si="3"/>
        <v>6578107.1256666603</v>
      </c>
    </row>
    <row r="92" spans="16:18" x14ac:dyDescent="0.25">
      <c r="P92" s="1">
        <v>92</v>
      </c>
      <c r="Q92" s="1">
        <f t="shared" si="2"/>
        <v>5519147.7029932374</v>
      </c>
      <c r="R92" s="1">
        <f t="shared" si="3"/>
        <v>6578114.5830476126</v>
      </c>
    </row>
    <row r="93" spans="16:18" x14ac:dyDescent="0.25">
      <c r="P93" s="1">
        <v>93</v>
      </c>
      <c r="Q93" s="1">
        <f t="shared" si="2"/>
        <v>5519154.2969388161</v>
      </c>
      <c r="R93" s="1">
        <f t="shared" si="3"/>
        <v>6578122.0404285649</v>
      </c>
    </row>
    <row r="94" spans="16:18" x14ac:dyDescent="0.25">
      <c r="P94" s="1">
        <v>94</v>
      </c>
      <c r="Q94" s="1">
        <f t="shared" si="2"/>
        <v>5519160.8908843948</v>
      </c>
      <c r="R94" s="1">
        <f t="shared" si="3"/>
        <v>6578129.4978095172</v>
      </c>
    </row>
    <row r="95" spans="16:18" x14ac:dyDescent="0.25">
      <c r="P95" s="1">
        <v>95</v>
      </c>
      <c r="Q95" s="1">
        <f t="shared" si="2"/>
        <v>5519167.4848299734</v>
      </c>
      <c r="R95" s="1">
        <f t="shared" si="3"/>
        <v>6578136.9551904695</v>
      </c>
    </row>
    <row r="96" spans="16:18" x14ac:dyDescent="0.25">
      <c r="P96" s="1">
        <v>96</v>
      </c>
      <c r="Q96" s="1">
        <f t="shared" si="2"/>
        <v>5519174.0787755521</v>
      </c>
      <c r="R96" s="1">
        <f t="shared" si="3"/>
        <v>6578144.4125714218</v>
      </c>
    </row>
    <row r="97" spans="16:18" x14ac:dyDescent="0.25">
      <c r="P97" s="1">
        <v>97</v>
      </c>
      <c r="Q97" s="1">
        <f t="shared" si="2"/>
        <v>5519180.6727211308</v>
      </c>
      <c r="R97" s="1">
        <f t="shared" si="3"/>
        <v>6578151.8699523741</v>
      </c>
    </row>
    <row r="98" spans="16:18" x14ac:dyDescent="0.25">
      <c r="P98" s="1">
        <v>98</v>
      </c>
      <c r="Q98" s="1">
        <f t="shared" si="2"/>
        <v>5519187.2666667094</v>
      </c>
      <c r="R98" s="1">
        <f t="shared" si="3"/>
        <v>6578159.3273333265</v>
      </c>
    </row>
    <row r="99" spans="16:18" x14ac:dyDescent="0.25">
      <c r="P99" s="1">
        <v>99</v>
      </c>
      <c r="Q99" s="1">
        <f t="shared" si="2"/>
        <v>5519193.8606122881</v>
      </c>
      <c r="R99" s="1">
        <f t="shared" si="3"/>
        <v>6578166.7847142788</v>
      </c>
    </row>
    <row r="100" spans="16:18" x14ac:dyDescent="0.25">
      <c r="P100" s="1">
        <v>100</v>
      </c>
      <c r="Q100" s="1">
        <f t="shared" si="2"/>
        <v>5519200.4545578668</v>
      </c>
      <c r="R100" s="1">
        <f t="shared" si="3"/>
        <v>6578174.2420952311</v>
      </c>
    </row>
    <row r="101" spans="16:18" x14ac:dyDescent="0.25">
      <c r="P101" s="1">
        <v>101</v>
      </c>
      <c r="Q101" s="1">
        <f t="shared" si="2"/>
        <v>5519207.0485034455</v>
      </c>
      <c r="R101" s="1">
        <f t="shared" si="3"/>
        <v>6578181.6994761834</v>
      </c>
    </row>
    <row r="102" spans="16:18" x14ac:dyDescent="0.25">
      <c r="P102" s="1">
        <v>102</v>
      </c>
      <c r="Q102" s="1">
        <f t="shared" si="2"/>
        <v>5519213.6424490241</v>
      </c>
      <c r="R102" s="1">
        <f t="shared" si="3"/>
        <v>6578189.1568571357</v>
      </c>
    </row>
    <row r="103" spans="16:18" x14ac:dyDescent="0.25">
      <c r="P103" s="1">
        <v>103</v>
      </c>
      <c r="Q103" s="1">
        <f t="shared" si="2"/>
        <v>5519220.2363946028</v>
      </c>
      <c r="R103" s="1">
        <f t="shared" si="3"/>
        <v>6578196.614238088</v>
      </c>
    </row>
    <row r="104" spans="16:18" x14ac:dyDescent="0.25">
      <c r="P104" s="1">
        <v>104</v>
      </c>
      <c r="Q104" s="1">
        <f t="shared" si="2"/>
        <v>5519226.8303401815</v>
      </c>
      <c r="R104" s="1">
        <f t="shared" si="3"/>
        <v>6578204.0716190403</v>
      </c>
    </row>
    <row r="105" spans="16:18" x14ac:dyDescent="0.25">
      <c r="P105" s="1">
        <v>105</v>
      </c>
      <c r="Q105" s="1">
        <f t="shared" si="2"/>
        <v>5519233.4242857601</v>
      </c>
      <c r="R105" s="1">
        <f t="shared" si="3"/>
        <v>6578211.5289999926</v>
      </c>
    </row>
    <row r="106" spans="16:18" x14ac:dyDescent="0.25">
      <c r="P106" s="1">
        <v>106</v>
      </c>
      <c r="Q106" s="1">
        <f t="shared" si="2"/>
        <v>5519240.0182313388</v>
      </c>
      <c r="R106" s="1">
        <f t="shared" si="3"/>
        <v>6578218.986380945</v>
      </c>
    </row>
    <row r="107" spans="16:18" x14ac:dyDescent="0.25">
      <c r="P107" s="1">
        <v>107</v>
      </c>
      <c r="Q107" s="1">
        <f t="shared" si="2"/>
        <v>5519246.6121769175</v>
      </c>
      <c r="R107" s="1">
        <f t="shared" si="3"/>
        <v>6578226.4437618973</v>
      </c>
    </row>
    <row r="108" spans="16:18" x14ac:dyDescent="0.25">
      <c r="P108" s="1">
        <v>108</v>
      </c>
      <c r="Q108" s="1">
        <f t="shared" si="2"/>
        <v>5519253.2061224962</v>
      </c>
      <c r="R108" s="1">
        <f t="shared" si="3"/>
        <v>6578233.9011428496</v>
      </c>
    </row>
    <row r="109" spans="16:18" x14ac:dyDescent="0.25">
      <c r="P109" s="1">
        <v>109</v>
      </c>
      <c r="Q109" s="1">
        <f t="shared" si="2"/>
        <v>5519259.8000680748</v>
      </c>
      <c r="R109" s="1">
        <f t="shared" si="3"/>
        <v>6578241.3585238019</v>
      </c>
    </row>
    <row r="110" spans="16:18" x14ac:dyDescent="0.25">
      <c r="P110" s="1">
        <v>110</v>
      </c>
      <c r="Q110" s="1">
        <f t="shared" si="2"/>
        <v>5519266.3940136535</v>
      </c>
      <c r="R110" s="1">
        <f t="shared" si="3"/>
        <v>6578248.8159047542</v>
      </c>
    </row>
    <row r="111" spans="16:18" x14ac:dyDescent="0.25">
      <c r="P111" s="1">
        <v>111</v>
      </c>
      <c r="Q111" s="1">
        <f t="shared" si="2"/>
        <v>5519272.9879592322</v>
      </c>
      <c r="R111" s="1">
        <f t="shared" si="3"/>
        <v>6578256.2732857065</v>
      </c>
    </row>
    <row r="112" spans="16:18" x14ac:dyDescent="0.25">
      <c r="P112" s="1">
        <v>112</v>
      </c>
      <c r="Q112" s="1">
        <f t="shared" si="2"/>
        <v>5519279.5819048109</v>
      </c>
      <c r="R112" s="1">
        <f t="shared" si="3"/>
        <v>6578263.7306666588</v>
      </c>
    </row>
    <row r="113" spans="16:18" x14ac:dyDescent="0.25">
      <c r="P113" s="1">
        <v>113</v>
      </c>
      <c r="Q113" s="1">
        <f t="shared" si="2"/>
        <v>5519286.1758503895</v>
      </c>
      <c r="R113" s="1">
        <f t="shared" si="3"/>
        <v>6578271.1880476112</v>
      </c>
    </row>
    <row r="114" spans="16:18" x14ac:dyDescent="0.25">
      <c r="P114" s="1">
        <v>114</v>
      </c>
      <c r="Q114" s="1">
        <f t="shared" si="2"/>
        <v>5519292.7697959682</v>
      </c>
      <c r="R114" s="1">
        <f t="shared" si="3"/>
        <v>6578278.6454285635</v>
      </c>
    </row>
    <row r="115" spans="16:18" x14ac:dyDescent="0.25">
      <c r="P115" s="1">
        <v>115</v>
      </c>
      <c r="Q115" s="1">
        <f t="shared" si="2"/>
        <v>5519299.3637415469</v>
      </c>
      <c r="R115" s="1">
        <f t="shared" si="3"/>
        <v>6578286.1028095158</v>
      </c>
    </row>
    <row r="116" spans="16:18" x14ac:dyDescent="0.25">
      <c r="P116" s="1">
        <v>116</v>
      </c>
      <c r="Q116" s="1">
        <f t="shared" si="2"/>
        <v>5519305.9576871255</v>
      </c>
      <c r="R116" s="1">
        <f t="shared" si="3"/>
        <v>6578293.5601904681</v>
      </c>
    </row>
    <row r="117" spans="16:18" x14ac:dyDescent="0.25">
      <c r="P117" s="1">
        <v>117</v>
      </c>
      <c r="Q117" s="1">
        <f t="shared" si="2"/>
        <v>5519312.5516327042</v>
      </c>
      <c r="R117" s="1">
        <f t="shared" si="3"/>
        <v>6578301.0175714204</v>
      </c>
    </row>
    <row r="118" spans="16:18" x14ac:dyDescent="0.25">
      <c r="P118" s="1">
        <v>118</v>
      </c>
      <c r="Q118" s="1">
        <f t="shared" si="2"/>
        <v>5519319.1455782829</v>
      </c>
      <c r="R118" s="1">
        <f t="shared" si="3"/>
        <v>6578308.4749523727</v>
      </c>
    </row>
    <row r="119" spans="16:18" x14ac:dyDescent="0.25">
      <c r="P119" s="1">
        <v>119</v>
      </c>
      <c r="Q119" s="1">
        <f t="shared" si="2"/>
        <v>5519325.7395238616</v>
      </c>
      <c r="R119" s="1">
        <f t="shared" si="3"/>
        <v>6578315.932333325</v>
      </c>
    </row>
    <row r="120" spans="16:18" x14ac:dyDescent="0.25">
      <c r="P120" s="1">
        <v>120</v>
      </c>
      <c r="Q120" s="1">
        <f t="shared" si="2"/>
        <v>5519332.3334694402</v>
      </c>
      <c r="R120" s="1">
        <f t="shared" si="3"/>
        <v>6578323.3897142773</v>
      </c>
    </row>
    <row r="121" spans="16:18" x14ac:dyDescent="0.25">
      <c r="P121" s="1">
        <v>121</v>
      </c>
      <c r="Q121" s="1">
        <f t="shared" si="2"/>
        <v>5519338.9274150189</v>
      </c>
      <c r="R121" s="1">
        <f t="shared" si="3"/>
        <v>6578330.8470952297</v>
      </c>
    </row>
    <row r="122" spans="16:18" x14ac:dyDescent="0.25">
      <c r="P122" s="1">
        <v>122</v>
      </c>
      <c r="Q122" s="1">
        <f t="shared" si="2"/>
        <v>5519345.5213605976</v>
      </c>
      <c r="R122" s="1">
        <f t="shared" si="3"/>
        <v>6578338.304476182</v>
      </c>
    </row>
    <row r="123" spans="16:18" x14ac:dyDescent="0.25">
      <c r="P123" s="1">
        <v>123</v>
      </c>
      <c r="Q123" s="1">
        <f t="shared" si="2"/>
        <v>5519352.1153061762</v>
      </c>
      <c r="R123" s="1">
        <f t="shared" si="3"/>
        <v>6578345.7618571343</v>
      </c>
    </row>
    <row r="124" spans="16:18" x14ac:dyDescent="0.25">
      <c r="P124" s="1">
        <v>124</v>
      </c>
      <c r="Q124" s="1">
        <f t="shared" si="2"/>
        <v>5519358.7092517549</v>
      </c>
      <c r="R124" s="1">
        <f t="shared" si="3"/>
        <v>6578353.2192380866</v>
      </c>
    </row>
    <row r="125" spans="16:18" x14ac:dyDescent="0.25">
      <c r="P125" s="1">
        <v>125</v>
      </c>
      <c r="Q125" s="1">
        <f t="shared" si="2"/>
        <v>5519365.3031973336</v>
      </c>
      <c r="R125" s="1">
        <f t="shared" si="3"/>
        <v>6578360.6766190389</v>
      </c>
    </row>
    <row r="126" spans="16:18" x14ac:dyDescent="0.25">
      <c r="P126" s="1">
        <v>126</v>
      </c>
      <c r="Q126" s="1">
        <f t="shared" si="2"/>
        <v>5519371.8971429123</v>
      </c>
      <c r="R126" s="1">
        <f t="shared" si="3"/>
        <v>6578368.1339999912</v>
      </c>
    </row>
    <row r="127" spans="16:18" x14ac:dyDescent="0.25">
      <c r="P127" s="1">
        <v>127</v>
      </c>
      <c r="Q127" s="1">
        <f t="shared" si="2"/>
        <v>5519378.4910884909</v>
      </c>
      <c r="R127" s="1">
        <f t="shared" si="3"/>
        <v>6578375.5913809435</v>
      </c>
    </row>
    <row r="128" spans="16:18" x14ac:dyDescent="0.25">
      <c r="P128" s="1">
        <v>128</v>
      </c>
      <c r="Q128" s="1">
        <f t="shared" si="2"/>
        <v>5519385.0850340696</v>
      </c>
      <c r="R128" s="1">
        <f t="shared" si="3"/>
        <v>6578383.0487618959</v>
      </c>
    </row>
    <row r="129" spans="16:18" x14ac:dyDescent="0.25">
      <c r="P129" s="1">
        <v>129</v>
      </c>
      <c r="Q129" s="1">
        <f t="shared" si="2"/>
        <v>5519391.6789796483</v>
      </c>
      <c r="R129" s="1">
        <f t="shared" si="3"/>
        <v>6578390.5061428482</v>
      </c>
    </row>
    <row r="130" spans="16:18" x14ac:dyDescent="0.25">
      <c r="P130" s="1">
        <v>130</v>
      </c>
      <c r="Q130" s="1">
        <f t="shared" si="2"/>
        <v>5519398.2729252269</v>
      </c>
      <c r="R130" s="1">
        <f t="shared" si="3"/>
        <v>6578397.9635238005</v>
      </c>
    </row>
    <row r="131" spans="16:18" x14ac:dyDescent="0.25">
      <c r="P131" s="1">
        <v>131</v>
      </c>
      <c r="Q131" s="1">
        <f t="shared" ref="Q131:Q194" si="4">IF($G$4="ERROR","",IF(P131&lt;=$G$4,Q130+($I$4*COS($O$4)),""))</f>
        <v>5519404.8668708056</v>
      </c>
      <c r="R131" s="1">
        <f t="shared" ref="R131:R194" si="5">IF($G$4="ERROR","",IF((P131&lt;=$G$4),IF($L$4&gt;=0,R130+($I$4*SIN($O$4)),R130-($I$4*SIN($O$4))),""))</f>
        <v>6578405.4209047528</v>
      </c>
    </row>
    <row r="132" spans="16:18" x14ac:dyDescent="0.25">
      <c r="P132" s="1">
        <v>132</v>
      </c>
      <c r="Q132" s="1">
        <f t="shared" si="4"/>
        <v>5519411.4608163843</v>
      </c>
      <c r="R132" s="1">
        <f t="shared" si="5"/>
        <v>6578412.8782857051</v>
      </c>
    </row>
    <row r="133" spans="16:18" x14ac:dyDescent="0.25">
      <c r="P133" s="1">
        <v>133</v>
      </c>
      <c r="Q133" s="1">
        <f t="shared" si="4"/>
        <v>5519418.054761963</v>
      </c>
      <c r="R133" s="1">
        <f t="shared" si="5"/>
        <v>6578420.3356666574</v>
      </c>
    </row>
    <row r="134" spans="16:18" x14ac:dyDescent="0.25">
      <c r="P134" s="1">
        <v>134</v>
      </c>
      <c r="Q134" s="1">
        <f t="shared" si="4"/>
        <v>5519424.6487075416</v>
      </c>
      <c r="R134" s="1">
        <f t="shared" si="5"/>
        <v>6578427.7930476097</v>
      </c>
    </row>
    <row r="135" spans="16:18" x14ac:dyDescent="0.25">
      <c r="P135" s="1">
        <v>135</v>
      </c>
      <c r="Q135" s="1">
        <f t="shared" si="4"/>
        <v>5519431.2426531203</v>
      </c>
      <c r="R135" s="1">
        <f t="shared" si="5"/>
        <v>6578435.2504285621</v>
      </c>
    </row>
    <row r="136" spans="16:18" x14ac:dyDescent="0.25">
      <c r="P136" s="1">
        <v>136</v>
      </c>
      <c r="Q136" s="1">
        <f t="shared" si="4"/>
        <v>5519437.836598699</v>
      </c>
      <c r="R136" s="1">
        <f t="shared" si="5"/>
        <v>6578442.7078095144</v>
      </c>
    </row>
    <row r="137" spans="16:18" x14ac:dyDescent="0.25">
      <c r="P137" s="1">
        <v>137</v>
      </c>
      <c r="Q137" s="1">
        <f t="shared" si="4"/>
        <v>5519444.4305442777</v>
      </c>
      <c r="R137" s="1">
        <f t="shared" si="5"/>
        <v>6578450.1651904667</v>
      </c>
    </row>
    <row r="138" spans="16:18" x14ac:dyDescent="0.25">
      <c r="P138" s="1">
        <v>138</v>
      </c>
      <c r="Q138" s="1">
        <f t="shared" si="4"/>
        <v>5519451.0244898563</v>
      </c>
      <c r="R138" s="1">
        <f t="shared" si="5"/>
        <v>6578457.622571419</v>
      </c>
    </row>
    <row r="139" spans="16:18" x14ac:dyDescent="0.25">
      <c r="P139" s="1">
        <v>139</v>
      </c>
      <c r="Q139" s="1">
        <f t="shared" si="4"/>
        <v>5519457.618435435</v>
      </c>
      <c r="R139" s="1">
        <f t="shared" si="5"/>
        <v>6578465.0799523713</v>
      </c>
    </row>
    <row r="140" spans="16:18" x14ac:dyDescent="0.25">
      <c r="P140" s="1">
        <v>140</v>
      </c>
      <c r="Q140" s="1">
        <f t="shared" si="4"/>
        <v>5519464.2123810137</v>
      </c>
      <c r="R140" s="1">
        <f t="shared" si="5"/>
        <v>6578472.5373333236</v>
      </c>
    </row>
    <row r="141" spans="16:18" x14ac:dyDescent="0.25">
      <c r="P141" s="1">
        <v>141</v>
      </c>
      <c r="Q141" s="1">
        <f t="shared" si="4"/>
        <v>5519470.8063265923</v>
      </c>
      <c r="R141" s="1">
        <f t="shared" si="5"/>
        <v>6578479.9947142759</v>
      </c>
    </row>
    <row r="142" spans="16:18" x14ac:dyDescent="0.25">
      <c r="P142" s="1">
        <v>142</v>
      </c>
      <c r="Q142" s="1">
        <f t="shared" si="4"/>
        <v>5519477.400272171</v>
      </c>
      <c r="R142" s="1">
        <f t="shared" si="5"/>
        <v>6578487.4520952282</v>
      </c>
    </row>
    <row r="143" spans="16:18" x14ac:dyDescent="0.25">
      <c r="P143" s="1">
        <v>143</v>
      </c>
      <c r="Q143" s="1">
        <f t="shared" si="4"/>
        <v>5519483.9942177497</v>
      </c>
      <c r="R143" s="1">
        <f t="shared" si="5"/>
        <v>6578494.9094761806</v>
      </c>
    </row>
    <row r="144" spans="16:18" x14ac:dyDescent="0.25">
      <c r="P144" s="1">
        <v>144</v>
      </c>
      <c r="Q144" s="1">
        <f t="shared" si="4"/>
        <v>5519490.5881633284</v>
      </c>
      <c r="R144" s="1">
        <f t="shared" si="5"/>
        <v>6578502.3668571329</v>
      </c>
    </row>
    <row r="145" spans="16:18" x14ac:dyDescent="0.25">
      <c r="P145" s="1">
        <v>145</v>
      </c>
      <c r="Q145" s="1">
        <f t="shared" si="4"/>
        <v>5519497.182108907</v>
      </c>
      <c r="R145" s="1">
        <f t="shared" si="5"/>
        <v>6578509.8242380852</v>
      </c>
    </row>
    <row r="146" spans="16:18" x14ac:dyDescent="0.25">
      <c r="P146" s="1">
        <v>146</v>
      </c>
      <c r="Q146" s="1">
        <f t="shared" si="4"/>
        <v>5519503.7760544857</v>
      </c>
      <c r="R146" s="1">
        <f t="shared" si="5"/>
        <v>6578517.2816190375</v>
      </c>
    </row>
    <row r="147" spans="16:18" x14ac:dyDescent="0.25">
      <c r="P147" s="1">
        <v>147</v>
      </c>
      <c r="Q147" s="1" t="str">
        <f t="shared" si="4"/>
        <v/>
      </c>
      <c r="R147" s="1" t="str">
        <f t="shared" si="5"/>
        <v/>
      </c>
    </row>
    <row r="148" spans="16:18" x14ac:dyDescent="0.25">
      <c r="P148" s="1">
        <v>148</v>
      </c>
      <c r="Q148" s="1" t="str">
        <f t="shared" si="4"/>
        <v/>
      </c>
      <c r="R148" s="1" t="str">
        <f t="shared" si="5"/>
        <v/>
      </c>
    </row>
    <row r="149" spans="16:18" x14ac:dyDescent="0.25">
      <c r="P149" s="1">
        <v>149</v>
      </c>
      <c r="Q149" s="1" t="str">
        <f t="shared" si="4"/>
        <v/>
      </c>
      <c r="R149" s="1" t="str">
        <f t="shared" si="5"/>
        <v/>
      </c>
    </row>
    <row r="150" spans="16:18" x14ac:dyDescent="0.25">
      <c r="P150" s="1">
        <v>150</v>
      </c>
      <c r="Q150" s="1" t="str">
        <f t="shared" si="4"/>
        <v/>
      </c>
      <c r="R150" s="1" t="str">
        <f t="shared" si="5"/>
        <v/>
      </c>
    </row>
    <row r="151" spans="16:18" x14ac:dyDescent="0.25">
      <c r="P151" s="1">
        <v>151</v>
      </c>
      <c r="Q151" s="1" t="str">
        <f t="shared" si="4"/>
        <v/>
      </c>
      <c r="R151" s="1" t="str">
        <f t="shared" si="5"/>
        <v/>
      </c>
    </row>
    <row r="152" spans="16:18" x14ac:dyDescent="0.25">
      <c r="P152" s="1">
        <v>152</v>
      </c>
      <c r="Q152" s="1" t="str">
        <f t="shared" si="4"/>
        <v/>
      </c>
      <c r="R152" s="1" t="str">
        <f t="shared" si="5"/>
        <v/>
      </c>
    </row>
    <row r="153" spans="16:18" x14ac:dyDescent="0.25">
      <c r="P153" s="1">
        <v>153</v>
      </c>
      <c r="Q153" s="1" t="str">
        <f t="shared" si="4"/>
        <v/>
      </c>
      <c r="R153" s="1" t="str">
        <f t="shared" si="5"/>
        <v/>
      </c>
    </row>
    <row r="154" spans="16:18" x14ac:dyDescent="0.25">
      <c r="P154" s="1">
        <v>154</v>
      </c>
      <c r="Q154" s="1" t="str">
        <f t="shared" si="4"/>
        <v/>
      </c>
      <c r="R154" s="1" t="str">
        <f t="shared" si="5"/>
        <v/>
      </c>
    </row>
    <row r="155" spans="16:18" x14ac:dyDescent="0.25">
      <c r="P155" s="1">
        <v>155</v>
      </c>
      <c r="Q155" s="1" t="str">
        <f t="shared" si="4"/>
        <v/>
      </c>
      <c r="R155" s="1" t="str">
        <f t="shared" si="5"/>
        <v/>
      </c>
    </row>
    <row r="156" spans="16:18" x14ac:dyDescent="0.25">
      <c r="P156" s="1">
        <v>156</v>
      </c>
      <c r="Q156" s="1" t="str">
        <f t="shared" si="4"/>
        <v/>
      </c>
      <c r="R156" s="1" t="str">
        <f t="shared" si="5"/>
        <v/>
      </c>
    </row>
    <row r="157" spans="16:18" x14ac:dyDescent="0.25">
      <c r="P157" s="1">
        <v>157</v>
      </c>
      <c r="Q157" s="1" t="str">
        <f t="shared" si="4"/>
        <v/>
      </c>
      <c r="R157" s="1" t="str">
        <f t="shared" si="5"/>
        <v/>
      </c>
    </row>
    <row r="158" spans="16:18" x14ac:dyDescent="0.25">
      <c r="P158" s="1">
        <v>158</v>
      </c>
      <c r="Q158" s="1" t="str">
        <f t="shared" si="4"/>
        <v/>
      </c>
      <c r="R158" s="1" t="str">
        <f t="shared" si="5"/>
        <v/>
      </c>
    </row>
    <row r="159" spans="16:18" x14ac:dyDescent="0.25">
      <c r="P159" s="1">
        <v>159</v>
      </c>
      <c r="Q159" s="1" t="str">
        <f t="shared" si="4"/>
        <v/>
      </c>
      <c r="R159" s="1" t="str">
        <f t="shared" si="5"/>
        <v/>
      </c>
    </row>
    <row r="160" spans="16:18" x14ac:dyDescent="0.25">
      <c r="P160" s="1">
        <v>160</v>
      </c>
      <c r="Q160" s="1" t="str">
        <f t="shared" si="4"/>
        <v/>
      </c>
      <c r="R160" s="1" t="str">
        <f t="shared" si="5"/>
        <v/>
      </c>
    </row>
    <row r="161" spans="16:18" x14ac:dyDescent="0.25">
      <c r="P161" s="1">
        <v>161</v>
      </c>
      <c r="Q161" s="1" t="str">
        <f t="shared" si="4"/>
        <v/>
      </c>
      <c r="R161" s="1" t="str">
        <f t="shared" si="5"/>
        <v/>
      </c>
    </row>
    <row r="162" spans="16:18" x14ac:dyDescent="0.25">
      <c r="P162" s="1">
        <v>162</v>
      </c>
      <c r="Q162" s="1" t="str">
        <f t="shared" si="4"/>
        <v/>
      </c>
      <c r="R162" s="1" t="str">
        <f t="shared" si="5"/>
        <v/>
      </c>
    </row>
    <row r="163" spans="16:18" x14ac:dyDescent="0.25">
      <c r="P163" s="1">
        <v>163</v>
      </c>
      <c r="Q163" s="1" t="str">
        <f t="shared" si="4"/>
        <v/>
      </c>
      <c r="R163" s="1" t="str">
        <f t="shared" si="5"/>
        <v/>
      </c>
    </row>
    <row r="164" spans="16:18" x14ac:dyDescent="0.25">
      <c r="P164" s="1">
        <v>164</v>
      </c>
      <c r="Q164" s="1" t="str">
        <f t="shared" si="4"/>
        <v/>
      </c>
      <c r="R164" s="1" t="str">
        <f t="shared" si="5"/>
        <v/>
      </c>
    </row>
    <row r="165" spans="16:18" x14ac:dyDescent="0.25">
      <c r="P165" s="1">
        <v>165</v>
      </c>
      <c r="Q165" s="1" t="str">
        <f t="shared" si="4"/>
        <v/>
      </c>
      <c r="R165" s="1" t="str">
        <f t="shared" si="5"/>
        <v/>
      </c>
    </row>
    <row r="166" spans="16:18" x14ac:dyDescent="0.25">
      <c r="P166" s="1">
        <v>166</v>
      </c>
      <c r="Q166" s="1" t="str">
        <f t="shared" si="4"/>
        <v/>
      </c>
      <c r="R166" s="1" t="str">
        <f t="shared" si="5"/>
        <v/>
      </c>
    </row>
    <row r="167" spans="16:18" x14ac:dyDescent="0.25">
      <c r="P167" s="1">
        <v>167</v>
      </c>
      <c r="Q167" s="1" t="str">
        <f t="shared" si="4"/>
        <v/>
      </c>
      <c r="R167" s="1" t="str">
        <f t="shared" si="5"/>
        <v/>
      </c>
    </row>
    <row r="168" spans="16:18" x14ac:dyDescent="0.25">
      <c r="P168" s="1">
        <v>168</v>
      </c>
      <c r="Q168" s="1" t="str">
        <f t="shared" si="4"/>
        <v/>
      </c>
      <c r="R168" s="1" t="str">
        <f t="shared" si="5"/>
        <v/>
      </c>
    </row>
    <row r="169" spans="16:18" x14ac:dyDescent="0.25">
      <c r="P169" s="1">
        <v>169</v>
      </c>
      <c r="Q169" s="1" t="str">
        <f t="shared" si="4"/>
        <v/>
      </c>
      <c r="R169" s="1" t="str">
        <f t="shared" si="5"/>
        <v/>
      </c>
    </row>
    <row r="170" spans="16:18" x14ac:dyDescent="0.25">
      <c r="P170" s="1">
        <v>170</v>
      </c>
      <c r="Q170" s="1" t="str">
        <f t="shared" si="4"/>
        <v/>
      </c>
      <c r="R170" s="1" t="str">
        <f t="shared" si="5"/>
        <v/>
      </c>
    </row>
    <row r="171" spans="16:18" x14ac:dyDescent="0.25">
      <c r="P171" s="1">
        <v>171</v>
      </c>
      <c r="Q171" s="1" t="str">
        <f t="shared" si="4"/>
        <v/>
      </c>
      <c r="R171" s="1" t="str">
        <f t="shared" si="5"/>
        <v/>
      </c>
    </row>
    <row r="172" spans="16:18" x14ac:dyDescent="0.25">
      <c r="P172" s="1">
        <v>172</v>
      </c>
      <c r="Q172" s="1" t="str">
        <f t="shared" si="4"/>
        <v/>
      </c>
      <c r="R172" s="1" t="str">
        <f t="shared" si="5"/>
        <v/>
      </c>
    </row>
    <row r="173" spans="16:18" x14ac:dyDescent="0.25">
      <c r="P173" s="1">
        <v>173</v>
      </c>
      <c r="Q173" s="1" t="str">
        <f t="shared" si="4"/>
        <v/>
      </c>
      <c r="R173" s="1" t="str">
        <f t="shared" si="5"/>
        <v/>
      </c>
    </row>
    <row r="174" spans="16:18" x14ac:dyDescent="0.25">
      <c r="P174" s="1">
        <v>174</v>
      </c>
      <c r="Q174" s="1" t="str">
        <f t="shared" si="4"/>
        <v/>
      </c>
      <c r="R174" s="1" t="str">
        <f t="shared" si="5"/>
        <v/>
      </c>
    </row>
    <row r="175" spans="16:18" x14ac:dyDescent="0.25">
      <c r="P175" s="1">
        <v>175</v>
      </c>
      <c r="Q175" s="1" t="str">
        <f t="shared" si="4"/>
        <v/>
      </c>
      <c r="R175" s="1" t="str">
        <f t="shared" si="5"/>
        <v/>
      </c>
    </row>
    <row r="176" spans="16:18" x14ac:dyDescent="0.25">
      <c r="P176" s="1">
        <v>176</v>
      </c>
      <c r="Q176" s="1" t="str">
        <f t="shared" si="4"/>
        <v/>
      </c>
      <c r="R176" s="1" t="str">
        <f t="shared" si="5"/>
        <v/>
      </c>
    </row>
    <row r="177" spans="16:18" x14ac:dyDescent="0.25">
      <c r="P177" s="1">
        <v>177</v>
      </c>
      <c r="Q177" s="1" t="str">
        <f t="shared" si="4"/>
        <v/>
      </c>
      <c r="R177" s="1" t="str">
        <f t="shared" si="5"/>
        <v/>
      </c>
    </row>
    <row r="178" spans="16:18" x14ac:dyDescent="0.25">
      <c r="P178" s="1">
        <v>178</v>
      </c>
      <c r="Q178" s="1" t="str">
        <f t="shared" si="4"/>
        <v/>
      </c>
      <c r="R178" s="1" t="str">
        <f t="shared" si="5"/>
        <v/>
      </c>
    </row>
    <row r="179" spans="16:18" x14ac:dyDescent="0.25">
      <c r="P179" s="1">
        <v>179</v>
      </c>
      <c r="Q179" s="1" t="str">
        <f t="shared" si="4"/>
        <v/>
      </c>
      <c r="R179" s="1" t="str">
        <f t="shared" si="5"/>
        <v/>
      </c>
    </row>
    <row r="180" spans="16:18" x14ac:dyDescent="0.25">
      <c r="P180" s="1">
        <v>180</v>
      </c>
      <c r="Q180" s="1" t="str">
        <f t="shared" si="4"/>
        <v/>
      </c>
      <c r="R180" s="1" t="str">
        <f t="shared" si="5"/>
        <v/>
      </c>
    </row>
    <row r="181" spans="16:18" x14ac:dyDescent="0.25">
      <c r="P181" s="1">
        <v>181</v>
      </c>
      <c r="Q181" s="1" t="str">
        <f t="shared" si="4"/>
        <v/>
      </c>
      <c r="R181" s="1" t="str">
        <f t="shared" si="5"/>
        <v/>
      </c>
    </row>
    <row r="182" spans="16:18" x14ac:dyDescent="0.25">
      <c r="P182" s="1">
        <v>182</v>
      </c>
      <c r="Q182" s="1" t="str">
        <f t="shared" si="4"/>
        <v/>
      </c>
      <c r="R182" s="1" t="str">
        <f t="shared" si="5"/>
        <v/>
      </c>
    </row>
    <row r="183" spans="16:18" x14ac:dyDescent="0.25">
      <c r="P183" s="1">
        <v>183</v>
      </c>
      <c r="Q183" s="1" t="str">
        <f t="shared" si="4"/>
        <v/>
      </c>
      <c r="R183" s="1" t="str">
        <f t="shared" si="5"/>
        <v/>
      </c>
    </row>
    <row r="184" spans="16:18" x14ac:dyDescent="0.25">
      <c r="P184" s="1">
        <v>184</v>
      </c>
      <c r="Q184" s="1" t="str">
        <f t="shared" si="4"/>
        <v/>
      </c>
      <c r="R184" s="1" t="str">
        <f t="shared" si="5"/>
        <v/>
      </c>
    </row>
    <row r="185" spans="16:18" x14ac:dyDescent="0.25">
      <c r="P185" s="1">
        <v>185</v>
      </c>
      <c r="Q185" s="1" t="str">
        <f t="shared" si="4"/>
        <v/>
      </c>
      <c r="R185" s="1" t="str">
        <f t="shared" si="5"/>
        <v/>
      </c>
    </row>
    <row r="186" spans="16:18" x14ac:dyDescent="0.25">
      <c r="P186" s="1">
        <v>186</v>
      </c>
      <c r="Q186" s="1" t="str">
        <f t="shared" si="4"/>
        <v/>
      </c>
      <c r="R186" s="1" t="str">
        <f t="shared" si="5"/>
        <v/>
      </c>
    </row>
    <row r="187" spans="16:18" x14ac:dyDescent="0.25">
      <c r="P187" s="1">
        <v>187</v>
      </c>
      <c r="Q187" s="1" t="str">
        <f t="shared" si="4"/>
        <v/>
      </c>
      <c r="R187" s="1" t="str">
        <f t="shared" si="5"/>
        <v/>
      </c>
    </row>
    <row r="188" spans="16:18" x14ac:dyDescent="0.25">
      <c r="P188" s="1">
        <v>188</v>
      </c>
      <c r="Q188" s="1" t="str">
        <f t="shared" si="4"/>
        <v/>
      </c>
      <c r="R188" s="1" t="str">
        <f t="shared" si="5"/>
        <v/>
      </c>
    </row>
    <row r="189" spans="16:18" x14ac:dyDescent="0.25">
      <c r="P189" s="1">
        <v>189</v>
      </c>
      <c r="Q189" s="1" t="str">
        <f t="shared" si="4"/>
        <v/>
      </c>
      <c r="R189" s="1" t="str">
        <f t="shared" si="5"/>
        <v/>
      </c>
    </row>
    <row r="190" spans="16:18" x14ac:dyDescent="0.25">
      <c r="P190" s="1">
        <v>190</v>
      </c>
      <c r="Q190" s="1" t="str">
        <f t="shared" si="4"/>
        <v/>
      </c>
      <c r="R190" s="1" t="str">
        <f t="shared" si="5"/>
        <v/>
      </c>
    </row>
    <row r="191" spans="16:18" x14ac:dyDescent="0.25">
      <c r="P191" s="1">
        <v>191</v>
      </c>
      <c r="Q191" s="1" t="str">
        <f t="shared" si="4"/>
        <v/>
      </c>
      <c r="R191" s="1" t="str">
        <f t="shared" si="5"/>
        <v/>
      </c>
    </row>
    <row r="192" spans="16:18" x14ac:dyDescent="0.25">
      <c r="P192" s="1">
        <v>192</v>
      </c>
      <c r="Q192" s="1" t="str">
        <f t="shared" si="4"/>
        <v/>
      </c>
      <c r="R192" s="1" t="str">
        <f t="shared" si="5"/>
        <v/>
      </c>
    </row>
    <row r="193" spans="16:18" x14ac:dyDescent="0.25">
      <c r="P193" s="1">
        <v>193</v>
      </c>
      <c r="Q193" s="1" t="str">
        <f t="shared" si="4"/>
        <v/>
      </c>
      <c r="R193" s="1" t="str">
        <f t="shared" si="5"/>
        <v/>
      </c>
    </row>
    <row r="194" spans="16:18" x14ac:dyDescent="0.25">
      <c r="P194" s="1">
        <v>194</v>
      </c>
      <c r="Q194" s="1" t="str">
        <f t="shared" si="4"/>
        <v/>
      </c>
      <c r="R194" s="1" t="str">
        <f t="shared" si="5"/>
        <v/>
      </c>
    </row>
    <row r="195" spans="16:18" x14ac:dyDescent="0.25">
      <c r="P195" s="1">
        <v>195</v>
      </c>
      <c r="Q195" s="1" t="str">
        <f t="shared" ref="Q195:Q221" si="6">IF($G$4="ERROR","",IF(P195&lt;=$G$4,Q194+($I$4*COS($O$4)),""))</f>
        <v/>
      </c>
      <c r="R195" s="1" t="str">
        <f t="shared" ref="R195:R221" si="7">IF($G$4="ERROR","",IF((P195&lt;=$G$4),IF($L$4&gt;=0,R194+($I$4*SIN($O$4)),R194-($I$4*SIN($O$4))),""))</f>
        <v/>
      </c>
    </row>
    <row r="196" spans="16:18" x14ac:dyDescent="0.25">
      <c r="P196" s="1">
        <v>196</v>
      </c>
      <c r="Q196" s="1" t="str">
        <f t="shared" si="6"/>
        <v/>
      </c>
      <c r="R196" s="1" t="str">
        <f t="shared" si="7"/>
        <v/>
      </c>
    </row>
    <row r="197" spans="16:18" x14ac:dyDescent="0.25">
      <c r="P197" s="1">
        <v>197</v>
      </c>
      <c r="Q197" s="1" t="str">
        <f t="shared" si="6"/>
        <v/>
      </c>
      <c r="R197" s="1" t="str">
        <f t="shared" si="7"/>
        <v/>
      </c>
    </row>
    <row r="198" spans="16:18" x14ac:dyDescent="0.25">
      <c r="P198" s="1">
        <v>198</v>
      </c>
      <c r="Q198" s="1" t="str">
        <f t="shared" si="6"/>
        <v/>
      </c>
      <c r="R198" s="1" t="str">
        <f t="shared" si="7"/>
        <v/>
      </c>
    </row>
    <row r="199" spans="16:18" x14ac:dyDescent="0.25">
      <c r="P199" s="1">
        <v>199</v>
      </c>
      <c r="Q199" s="1" t="str">
        <f t="shared" si="6"/>
        <v/>
      </c>
      <c r="R199" s="1" t="str">
        <f t="shared" si="7"/>
        <v/>
      </c>
    </row>
    <row r="200" spans="16:18" x14ac:dyDescent="0.25">
      <c r="P200" s="1">
        <v>200</v>
      </c>
      <c r="Q200" s="1" t="str">
        <f t="shared" si="6"/>
        <v/>
      </c>
      <c r="R200" s="1" t="str">
        <f t="shared" si="7"/>
        <v/>
      </c>
    </row>
    <row r="201" spans="16:18" x14ac:dyDescent="0.25">
      <c r="P201" s="1">
        <v>201</v>
      </c>
      <c r="Q201" s="1" t="str">
        <f t="shared" si="6"/>
        <v/>
      </c>
      <c r="R201" s="1" t="str">
        <f t="shared" si="7"/>
        <v/>
      </c>
    </row>
    <row r="202" spans="16:18" x14ac:dyDescent="0.25">
      <c r="P202" s="1">
        <v>202</v>
      </c>
      <c r="Q202" s="1" t="str">
        <f t="shared" si="6"/>
        <v/>
      </c>
      <c r="R202" s="1" t="str">
        <f t="shared" si="7"/>
        <v/>
      </c>
    </row>
    <row r="203" spans="16:18" x14ac:dyDescent="0.25">
      <c r="P203" s="1">
        <v>203</v>
      </c>
      <c r="Q203" s="1" t="str">
        <f t="shared" si="6"/>
        <v/>
      </c>
      <c r="R203" s="1" t="str">
        <f t="shared" si="7"/>
        <v/>
      </c>
    </row>
    <row r="204" spans="16:18" x14ac:dyDescent="0.25">
      <c r="P204" s="1">
        <v>204</v>
      </c>
      <c r="Q204" s="1" t="str">
        <f t="shared" si="6"/>
        <v/>
      </c>
      <c r="R204" s="1" t="str">
        <f t="shared" si="7"/>
        <v/>
      </c>
    </row>
    <row r="205" spans="16:18" x14ac:dyDescent="0.25">
      <c r="P205" s="1">
        <v>205</v>
      </c>
      <c r="Q205" s="1" t="str">
        <f t="shared" si="6"/>
        <v/>
      </c>
      <c r="R205" s="1" t="str">
        <f t="shared" si="7"/>
        <v/>
      </c>
    </row>
    <row r="206" spans="16:18" x14ac:dyDescent="0.25">
      <c r="P206" s="1">
        <v>206</v>
      </c>
      <c r="Q206" s="1" t="str">
        <f t="shared" si="6"/>
        <v/>
      </c>
      <c r="R206" s="1" t="str">
        <f t="shared" si="7"/>
        <v/>
      </c>
    </row>
    <row r="207" spans="16:18" x14ac:dyDescent="0.25">
      <c r="P207" s="1">
        <v>207</v>
      </c>
      <c r="Q207" s="1" t="str">
        <f t="shared" si="6"/>
        <v/>
      </c>
      <c r="R207" s="1" t="str">
        <f t="shared" si="7"/>
        <v/>
      </c>
    </row>
    <row r="208" spans="16:18" x14ac:dyDescent="0.25">
      <c r="P208" s="1">
        <v>208</v>
      </c>
      <c r="Q208" s="1" t="str">
        <f t="shared" si="6"/>
        <v/>
      </c>
      <c r="R208" s="1" t="str">
        <f t="shared" si="7"/>
        <v/>
      </c>
    </row>
    <row r="209" spans="16:18" x14ac:dyDescent="0.25">
      <c r="P209" s="1">
        <v>209</v>
      </c>
      <c r="Q209" s="1" t="str">
        <f t="shared" si="6"/>
        <v/>
      </c>
      <c r="R209" s="1" t="str">
        <f t="shared" si="7"/>
        <v/>
      </c>
    </row>
    <row r="210" spans="16:18" x14ac:dyDescent="0.25">
      <c r="P210" s="1">
        <v>210</v>
      </c>
      <c r="Q210" s="1" t="str">
        <f t="shared" si="6"/>
        <v/>
      </c>
      <c r="R210" s="1" t="str">
        <f t="shared" si="7"/>
        <v/>
      </c>
    </row>
    <row r="211" spans="16:18" x14ac:dyDescent="0.25">
      <c r="P211" s="1">
        <v>211</v>
      </c>
      <c r="Q211" s="1" t="str">
        <f t="shared" si="6"/>
        <v/>
      </c>
      <c r="R211" s="1" t="str">
        <f t="shared" si="7"/>
        <v/>
      </c>
    </row>
    <row r="212" spans="16:18" x14ac:dyDescent="0.25">
      <c r="P212" s="1">
        <v>212</v>
      </c>
      <c r="Q212" s="1" t="str">
        <f t="shared" si="6"/>
        <v/>
      </c>
      <c r="R212" s="1" t="str">
        <f t="shared" si="7"/>
        <v/>
      </c>
    </row>
    <row r="213" spans="16:18" x14ac:dyDescent="0.25">
      <c r="P213" s="1">
        <v>213</v>
      </c>
      <c r="Q213" s="1" t="str">
        <f t="shared" si="6"/>
        <v/>
      </c>
      <c r="R213" s="1" t="str">
        <f t="shared" si="7"/>
        <v/>
      </c>
    </row>
    <row r="214" spans="16:18" x14ac:dyDescent="0.25">
      <c r="P214" s="1">
        <v>214</v>
      </c>
      <c r="Q214" s="1" t="str">
        <f t="shared" si="6"/>
        <v/>
      </c>
      <c r="R214" s="1" t="str">
        <f t="shared" si="7"/>
        <v/>
      </c>
    </row>
    <row r="215" spans="16:18" x14ac:dyDescent="0.25">
      <c r="P215" s="1">
        <v>215</v>
      </c>
      <c r="Q215" s="1" t="str">
        <f t="shared" si="6"/>
        <v/>
      </c>
      <c r="R215" s="1" t="str">
        <f t="shared" si="7"/>
        <v/>
      </c>
    </row>
    <row r="216" spans="16:18" x14ac:dyDescent="0.25">
      <c r="P216" s="1">
        <v>216</v>
      </c>
      <c r="Q216" s="1" t="str">
        <f t="shared" si="6"/>
        <v/>
      </c>
      <c r="R216" s="1" t="str">
        <f t="shared" si="7"/>
        <v/>
      </c>
    </row>
    <row r="217" spans="16:18" x14ac:dyDescent="0.25">
      <c r="P217" s="1">
        <v>217</v>
      </c>
      <c r="Q217" s="1" t="str">
        <f t="shared" si="6"/>
        <v/>
      </c>
      <c r="R217" s="1" t="str">
        <f t="shared" si="7"/>
        <v/>
      </c>
    </row>
    <row r="218" spans="16:18" x14ac:dyDescent="0.25">
      <c r="P218" s="1">
        <v>218</v>
      </c>
      <c r="Q218" s="1" t="str">
        <f t="shared" si="6"/>
        <v/>
      </c>
      <c r="R218" s="1" t="str">
        <f t="shared" si="7"/>
        <v/>
      </c>
    </row>
    <row r="219" spans="16:18" x14ac:dyDescent="0.25">
      <c r="P219" s="1">
        <v>219</v>
      </c>
      <c r="Q219" s="1" t="str">
        <f t="shared" si="6"/>
        <v/>
      </c>
      <c r="R219" s="1" t="str">
        <f t="shared" si="7"/>
        <v/>
      </c>
    </row>
    <row r="220" spans="16:18" x14ac:dyDescent="0.25">
      <c r="P220" s="1">
        <v>220</v>
      </c>
      <c r="Q220" s="1" t="str">
        <f t="shared" si="6"/>
        <v/>
      </c>
      <c r="R220" s="1" t="str">
        <f t="shared" si="7"/>
        <v/>
      </c>
    </row>
    <row r="221" spans="16:18" x14ac:dyDescent="0.25">
      <c r="P221" s="1">
        <v>221</v>
      </c>
      <c r="Q221" s="1" t="str">
        <f t="shared" si="6"/>
        <v/>
      </c>
      <c r="R221" s="1" t="str">
        <f t="shared" si="7"/>
        <v/>
      </c>
    </row>
  </sheetData>
  <sheetProtection algorithmName="SHA-512" hashValue="IKGWBqP+wo/LmLwTqwoIOi7S2K7C2mZ+aOSfqmZyCwLXKK0l1dH6jH2W91J3hNdU9qxpjWH+hNsWdoOeQE7s5w==" saltValue="icTtev6feOROghtOUhEmqw==" spinCount="100000" sheet="1" objects="1" scenarios="1"/>
  <mergeCells count="8">
    <mergeCell ref="A9:B9"/>
    <mergeCell ref="C9:D9"/>
    <mergeCell ref="E4:E5"/>
    <mergeCell ref="F2:F3"/>
    <mergeCell ref="G2:G3"/>
    <mergeCell ref="A2:D2"/>
    <mergeCell ref="A3:B3"/>
    <mergeCell ref="C3:D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r">
                <anchor moveWithCells="1" sizeWithCells="1">
                  <from>
                    <xdr:col>4</xdr:col>
                    <xdr:colOff>0</xdr:colOff>
                    <xdr:row>11</xdr:row>
                    <xdr:rowOff>180975</xdr:rowOff>
                  </from>
                  <to>
                    <xdr:col>4</xdr:col>
                    <xdr:colOff>1190625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B8118-6C86-47C8-8889-445BF3C6473C}">
  <sheetPr codeName="Hoja2"/>
  <dimension ref="A1:D377"/>
  <sheetViews>
    <sheetView topLeftCell="A16" workbookViewId="0">
      <selection activeCell="G31" sqref="G31"/>
    </sheetView>
  </sheetViews>
  <sheetFormatPr baseColWidth="10" defaultRowHeight="15" x14ac:dyDescent="0.25"/>
  <cols>
    <col min="4" max="4" width="11.85546875" bestFit="1" customWidth="1"/>
  </cols>
  <sheetData>
    <row r="1" spans="1:4" x14ac:dyDescent="0.25">
      <c r="A1" s="1">
        <f>IF(CALCULO!Q1="","",CALCULO!Q1)</f>
        <v>5518547.6539455783</v>
      </c>
      <c r="B1" s="1">
        <f>IF(CALCULO!R1="","",CALCULO!R1)</f>
        <v>6577435.961380952</v>
      </c>
      <c r="C1" s="1">
        <f t="shared" ref="C1:C64" si="0">IF(OR(A1="",B1=""),"",1)</f>
        <v>1</v>
      </c>
      <c r="D1" s="1" t="str">
        <f>IF(A1&lt;&gt;"","MS10","")</f>
        <v>MS10</v>
      </c>
    </row>
    <row r="2" spans="1:4" x14ac:dyDescent="0.25">
      <c r="A2" s="1">
        <f>IF(CALCULO!Q2="","",CALCULO!Q2)</f>
        <v>5518554.2478911569</v>
      </c>
      <c r="B2" s="1">
        <f>IF(CALCULO!R2="","",CALCULO!R2)</f>
        <v>6577443.4187619044</v>
      </c>
      <c r="C2" s="1">
        <f t="shared" si="0"/>
        <v>1</v>
      </c>
      <c r="D2" s="1" t="str">
        <f t="shared" ref="D2:D65" si="1">IF(A2&lt;&gt;"","MS10","")</f>
        <v>MS10</v>
      </c>
    </row>
    <row r="3" spans="1:4" x14ac:dyDescent="0.25">
      <c r="A3" s="1">
        <f>IF(CALCULO!Q3="","",CALCULO!Q3)</f>
        <v>5518560.8418367356</v>
      </c>
      <c r="B3" s="1">
        <f>IF(CALCULO!R3="","",CALCULO!R3)</f>
        <v>6577450.8761428567</v>
      </c>
      <c r="C3" s="1">
        <f t="shared" si="0"/>
        <v>1</v>
      </c>
      <c r="D3" s="1" t="str">
        <f t="shared" si="1"/>
        <v>MS10</v>
      </c>
    </row>
    <row r="4" spans="1:4" x14ac:dyDescent="0.25">
      <c r="A4" s="1">
        <f>IF(CALCULO!Q4="","",CALCULO!Q4)</f>
        <v>5518567.4357823143</v>
      </c>
      <c r="B4" s="1">
        <f>IF(CALCULO!R4="","",CALCULO!R4)</f>
        <v>6577458.333523809</v>
      </c>
      <c r="C4" s="1">
        <f t="shared" si="0"/>
        <v>1</v>
      </c>
      <c r="D4" s="1" t="str">
        <f t="shared" si="1"/>
        <v>MS10</v>
      </c>
    </row>
    <row r="5" spans="1:4" x14ac:dyDescent="0.25">
      <c r="A5" s="1">
        <f>IF(CALCULO!Q5="","",CALCULO!Q5)</f>
        <v>5518574.029727893</v>
      </c>
      <c r="B5" s="1">
        <f>IF(CALCULO!R5="","",CALCULO!R5)</f>
        <v>6577465.7909047613</v>
      </c>
      <c r="C5" s="1">
        <f t="shared" si="0"/>
        <v>1</v>
      </c>
      <c r="D5" s="1" t="str">
        <f t="shared" si="1"/>
        <v>MS10</v>
      </c>
    </row>
    <row r="6" spans="1:4" x14ac:dyDescent="0.25">
      <c r="A6" s="1">
        <f>IF(CALCULO!Q6="","",CALCULO!Q6)</f>
        <v>5518580.6236734716</v>
      </c>
      <c r="B6" s="1">
        <f>IF(CALCULO!R6="","",CALCULO!R6)</f>
        <v>6577473.2482857136</v>
      </c>
      <c r="C6" s="1">
        <f t="shared" si="0"/>
        <v>1</v>
      </c>
      <c r="D6" s="1" t="str">
        <f t="shared" si="1"/>
        <v>MS10</v>
      </c>
    </row>
    <row r="7" spans="1:4" x14ac:dyDescent="0.25">
      <c r="A7" s="1">
        <f>IF(CALCULO!Q7="","",CALCULO!Q7)</f>
        <v>5518587.2176190503</v>
      </c>
      <c r="B7" s="1">
        <f>IF(CALCULO!R7="","",CALCULO!R7)</f>
        <v>6577480.7056666659</v>
      </c>
      <c r="C7" s="1">
        <f t="shared" si="0"/>
        <v>1</v>
      </c>
      <c r="D7" s="1" t="str">
        <f t="shared" si="1"/>
        <v>MS10</v>
      </c>
    </row>
    <row r="8" spans="1:4" x14ac:dyDescent="0.25">
      <c r="A8" s="1">
        <f>IF(CALCULO!Q8="","",CALCULO!Q8)</f>
        <v>5518593.811564629</v>
      </c>
      <c r="B8" s="1">
        <f>IF(CALCULO!R8="","",CALCULO!R8)</f>
        <v>6577488.1630476182</v>
      </c>
      <c r="C8" s="1">
        <f t="shared" si="0"/>
        <v>1</v>
      </c>
      <c r="D8" s="1" t="str">
        <f t="shared" si="1"/>
        <v>MS10</v>
      </c>
    </row>
    <row r="9" spans="1:4" x14ac:dyDescent="0.25">
      <c r="A9" s="1">
        <f>IF(CALCULO!Q9="","",CALCULO!Q9)</f>
        <v>5518600.4055102076</v>
      </c>
      <c r="B9" s="1">
        <f>IF(CALCULO!R9="","",CALCULO!R9)</f>
        <v>6577495.6204285705</v>
      </c>
      <c r="C9" s="1">
        <f t="shared" si="0"/>
        <v>1</v>
      </c>
      <c r="D9" s="1" t="str">
        <f t="shared" si="1"/>
        <v>MS10</v>
      </c>
    </row>
    <row r="10" spans="1:4" x14ac:dyDescent="0.25">
      <c r="A10" s="1">
        <f>IF(CALCULO!Q10="","",CALCULO!Q10)</f>
        <v>5518606.9994557863</v>
      </c>
      <c r="B10" s="1">
        <f>IF(CALCULO!R10="","",CALCULO!R10)</f>
        <v>6577503.0778095229</v>
      </c>
      <c r="C10" s="1">
        <f t="shared" si="0"/>
        <v>1</v>
      </c>
      <c r="D10" s="1" t="str">
        <f t="shared" si="1"/>
        <v>MS10</v>
      </c>
    </row>
    <row r="11" spans="1:4" x14ac:dyDescent="0.25">
      <c r="A11" s="1">
        <f>IF(CALCULO!Q11="","",CALCULO!Q11)</f>
        <v>5518613.593401365</v>
      </c>
      <c r="B11" s="1">
        <f>IF(CALCULO!R11="","",CALCULO!R11)</f>
        <v>6577510.5351904752</v>
      </c>
      <c r="C11" s="1">
        <f t="shared" si="0"/>
        <v>1</v>
      </c>
      <c r="D11" s="1" t="str">
        <f t="shared" si="1"/>
        <v>MS10</v>
      </c>
    </row>
    <row r="12" spans="1:4" x14ac:dyDescent="0.25">
      <c r="A12" s="1">
        <f>IF(CALCULO!Q12="","",CALCULO!Q12)</f>
        <v>5518620.1873469437</v>
      </c>
      <c r="B12" s="1">
        <f>IF(CALCULO!R12="","",CALCULO!R12)</f>
        <v>6577517.9925714275</v>
      </c>
      <c r="C12" s="1">
        <f t="shared" si="0"/>
        <v>1</v>
      </c>
      <c r="D12" s="1" t="str">
        <f t="shared" si="1"/>
        <v>MS10</v>
      </c>
    </row>
    <row r="13" spans="1:4" x14ac:dyDescent="0.25">
      <c r="A13" s="1">
        <f>IF(CALCULO!Q13="","",CALCULO!Q13)</f>
        <v>5518626.7812925223</v>
      </c>
      <c r="B13" s="1">
        <f>IF(CALCULO!R13="","",CALCULO!R13)</f>
        <v>6577525.4499523798</v>
      </c>
      <c r="C13" s="1">
        <f t="shared" si="0"/>
        <v>1</v>
      </c>
      <c r="D13" s="1" t="str">
        <f t="shared" si="1"/>
        <v>MS10</v>
      </c>
    </row>
    <row r="14" spans="1:4" x14ac:dyDescent="0.25">
      <c r="A14" s="1">
        <f>IF(CALCULO!Q14="","",CALCULO!Q14)</f>
        <v>5518633.375238101</v>
      </c>
      <c r="B14" s="1">
        <f>IF(CALCULO!R14="","",CALCULO!R14)</f>
        <v>6577532.9073333321</v>
      </c>
      <c r="C14" s="1">
        <f t="shared" si="0"/>
        <v>1</v>
      </c>
      <c r="D14" s="1" t="str">
        <f t="shared" si="1"/>
        <v>MS10</v>
      </c>
    </row>
    <row r="15" spans="1:4" x14ac:dyDescent="0.25">
      <c r="A15" s="1">
        <f>IF(CALCULO!Q15="","",CALCULO!Q15)</f>
        <v>5518639.9691836797</v>
      </c>
      <c r="B15" s="1">
        <f>IF(CALCULO!R15="","",CALCULO!R15)</f>
        <v>6577540.3647142844</v>
      </c>
      <c r="C15" s="1">
        <f t="shared" si="0"/>
        <v>1</v>
      </c>
      <c r="D15" s="1" t="str">
        <f t="shared" si="1"/>
        <v>MS10</v>
      </c>
    </row>
    <row r="16" spans="1:4" x14ac:dyDescent="0.25">
      <c r="A16" s="1">
        <f>IF(CALCULO!Q16="","",CALCULO!Q16)</f>
        <v>5518646.5631292583</v>
      </c>
      <c r="B16" s="1">
        <f>IF(CALCULO!R16="","",CALCULO!R16)</f>
        <v>6577547.8220952367</v>
      </c>
      <c r="C16" s="1">
        <f t="shared" si="0"/>
        <v>1</v>
      </c>
      <c r="D16" s="1" t="str">
        <f t="shared" si="1"/>
        <v>MS10</v>
      </c>
    </row>
    <row r="17" spans="1:4" x14ac:dyDescent="0.25">
      <c r="A17" s="1">
        <f>IF(CALCULO!Q17="","",CALCULO!Q17)</f>
        <v>5518653.157074837</v>
      </c>
      <c r="B17" s="1">
        <f>IF(CALCULO!R17="","",CALCULO!R17)</f>
        <v>6577555.2794761891</v>
      </c>
      <c r="C17" s="1">
        <f t="shared" si="0"/>
        <v>1</v>
      </c>
      <c r="D17" s="1" t="str">
        <f t="shared" si="1"/>
        <v>MS10</v>
      </c>
    </row>
    <row r="18" spans="1:4" x14ac:dyDescent="0.25">
      <c r="A18" s="1">
        <f>IF(CALCULO!Q18="","",CALCULO!Q18)</f>
        <v>5518659.7510204157</v>
      </c>
      <c r="B18" s="1">
        <f>IF(CALCULO!R18="","",CALCULO!R18)</f>
        <v>6577562.7368571414</v>
      </c>
      <c r="C18" s="1">
        <f t="shared" si="0"/>
        <v>1</v>
      </c>
      <c r="D18" s="1" t="str">
        <f t="shared" si="1"/>
        <v>MS10</v>
      </c>
    </row>
    <row r="19" spans="1:4" x14ac:dyDescent="0.25">
      <c r="A19" s="1">
        <f>IF(CALCULO!Q19="","",CALCULO!Q19)</f>
        <v>5518666.3449659944</v>
      </c>
      <c r="B19" s="1">
        <f>IF(CALCULO!R19="","",CALCULO!R19)</f>
        <v>6577570.1942380937</v>
      </c>
      <c r="C19" s="1">
        <f t="shared" si="0"/>
        <v>1</v>
      </c>
      <c r="D19" s="1" t="str">
        <f t="shared" si="1"/>
        <v>MS10</v>
      </c>
    </row>
    <row r="20" spans="1:4" x14ac:dyDescent="0.25">
      <c r="A20" s="1">
        <f>IF(CALCULO!Q20="","",CALCULO!Q20)</f>
        <v>5518672.938911573</v>
      </c>
      <c r="B20" s="1">
        <f>IF(CALCULO!R20="","",CALCULO!R20)</f>
        <v>6577577.651619046</v>
      </c>
      <c r="C20" s="1">
        <f t="shared" si="0"/>
        <v>1</v>
      </c>
      <c r="D20" s="1" t="str">
        <f t="shared" si="1"/>
        <v>MS10</v>
      </c>
    </row>
    <row r="21" spans="1:4" x14ac:dyDescent="0.25">
      <c r="A21" s="1">
        <f>IF(CALCULO!Q21="","",CALCULO!Q21)</f>
        <v>5518679.5328571517</v>
      </c>
      <c r="B21" s="1">
        <f>IF(CALCULO!R21="","",CALCULO!R21)</f>
        <v>6577585.1089999983</v>
      </c>
      <c r="C21" s="1">
        <f t="shared" si="0"/>
        <v>1</v>
      </c>
      <c r="D21" s="1" t="str">
        <f t="shared" si="1"/>
        <v>MS10</v>
      </c>
    </row>
    <row r="22" spans="1:4" x14ac:dyDescent="0.25">
      <c r="A22" s="1">
        <f>IF(CALCULO!Q22="","",CALCULO!Q22)</f>
        <v>5518686.1268027304</v>
      </c>
      <c r="B22" s="1">
        <f>IF(CALCULO!R22="","",CALCULO!R22)</f>
        <v>6577592.5663809506</v>
      </c>
      <c r="C22" s="1">
        <f t="shared" si="0"/>
        <v>1</v>
      </c>
      <c r="D22" s="1" t="str">
        <f t="shared" si="1"/>
        <v>MS10</v>
      </c>
    </row>
    <row r="23" spans="1:4" x14ac:dyDescent="0.25">
      <c r="A23" s="1">
        <f>IF(CALCULO!Q23="","",CALCULO!Q23)</f>
        <v>5518692.720748309</v>
      </c>
      <c r="B23" s="1">
        <f>IF(CALCULO!R23="","",CALCULO!R23)</f>
        <v>6577600.0237619029</v>
      </c>
      <c r="C23" s="1">
        <f t="shared" si="0"/>
        <v>1</v>
      </c>
      <c r="D23" s="1" t="str">
        <f t="shared" si="1"/>
        <v>MS10</v>
      </c>
    </row>
    <row r="24" spans="1:4" x14ac:dyDescent="0.25">
      <c r="A24" s="1">
        <f>IF(CALCULO!Q24="","",CALCULO!Q24)</f>
        <v>5518699.3146938877</v>
      </c>
      <c r="B24" s="1">
        <f>IF(CALCULO!R24="","",CALCULO!R24)</f>
        <v>6577607.4811428552</v>
      </c>
      <c r="C24" s="1">
        <f t="shared" si="0"/>
        <v>1</v>
      </c>
      <c r="D24" s="1" t="str">
        <f t="shared" si="1"/>
        <v>MS10</v>
      </c>
    </row>
    <row r="25" spans="1:4" x14ac:dyDescent="0.25">
      <c r="A25" s="1">
        <f>IF(CALCULO!Q25="","",CALCULO!Q25)</f>
        <v>5518705.9086394664</v>
      </c>
      <c r="B25" s="1">
        <f>IF(CALCULO!R25="","",CALCULO!R25)</f>
        <v>6577614.9385238076</v>
      </c>
      <c r="C25" s="1">
        <f t="shared" si="0"/>
        <v>1</v>
      </c>
      <c r="D25" s="1" t="str">
        <f t="shared" si="1"/>
        <v>MS10</v>
      </c>
    </row>
    <row r="26" spans="1:4" x14ac:dyDescent="0.25">
      <c r="A26" s="1">
        <f>IF(CALCULO!Q26="","",CALCULO!Q26)</f>
        <v>5518712.5025850451</v>
      </c>
      <c r="B26" s="1">
        <f>IF(CALCULO!R26="","",CALCULO!R26)</f>
        <v>6577622.3959047599</v>
      </c>
      <c r="C26" s="1">
        <f t="shared" si="0"/>
        <v>1</v>
      </c>
      <c r="D26" s="1" t="str">
        <f t="shared" si="1"/>
        <v>MS10</v>
      </c>
    </row>
    <row r="27" spans="1:4" x14ac:dyDescent="0.25">
      <c r="A27" s="1">
        <f>IF(CALCULO!Q27="","",CALCULO!Q27)</f>
        <v>5518719.0965306237</v>
      </c>
      <c r="B27" s="1">
        <f>IF(CALCULO!R27="","",CALCULO!R27)</f>
        <v>6577629.8532857122</v>
      </c>
      <c r="C27" s="1">
        <f t="shared" si="0"/>
        <v>1</v>
      </c>
      <c r="D27" s="1" t="str">
        <f t="shared" si="1"/>
        <v>MS10</v>
      </c>
    </row>
    <row r="28" spans="1:4" x14ac:dyDescent="0.25">
      <c r="A28" s="1">
        <f>IF(CALCULO!Q28="","",CALCULO!Q28)</f>
        <v>5518725.6904762024</v>
      </c>
      <c r="B28" s="1">
        <f>IF(CALCULO!R28="","",CALCULO!R28)</f>
        <v>6577637.3106666645</v>
      </c>
      <c r="C28" s="1">
        <f t="shared" si="0"/>
        <v>1</v>
      </c>
      <c r="D28" s="1" t="str">
        <f t="shared" si="1"/>
        <v>MS10</v>
      </c>
    </row>
    <row r="29" spans="1:4" x14ac:dyDescent="0.25">
      <c r="A29" s="1">
        <f>IF(CALCULO!Q29="","",CALCULO!Q29)</f>
        <v>5518732.2844217811</v>
      </c>
      <c r="B29" s="1">
        <f>IF(CALCULO!R29="","",CALCULO!R29)</f>
        <v>6577644.7680476168</v>
      </c>
      <c r="C29" s="1">
        <f t="shared" si="0"/>
        <v>1</v>
      </c>
      <c r="D29" s="1" t="str">
        <f t="shared" si="1"/>
        <v>MS10</v>
      </c>
    </row>
    <row r="30" spans="1:4" x14ac:dyDescent="0.25">
      <c r="A30" s="1">
        <f>IF(CALCULO!Q30="","",CALCULO!Q30)</f>
        <v>5518738.8783673597</v>
      </c>
      <c r="B30" s="1">
        <f>IF(CALCULO!R30="","",CALCULO!R30)</f>
        <v>6577652.2254285691</v>
      </c>
      <c r="C30" s="1">
        <f t="shared" si="0"/>
        <v>1</v>
      </c>
      <c r="D30" s="1" t="str">
        <f t="shared" si="1"/>
        <v>MS10</v>
      </c>
    </row>
    <row r="31" spans="1:4" x14ac:dyDescent="0.25">
      <c r="A31" s="1">
        <f>IF(CALCULO!Q31="","",CALCULO!Q31)</f>
        <v>5518745.4723129384</v>
      </c>
      <c r="B31" s="1">
        <f>IF(CALCULO!R31="","",CALCULO!R31)</f>
        <v>6577659.6828095214</v>
      </c>
      <c r="C31" s="1">
        <f t="shared" si="0"/>
        <v>1</v>
      </c>
      <c r="D31" s="1" t="str">
        <f t="shared" si="1"/>
        <v>MS10</v>
      </c>
    </row>
    <row r="32" spans="1:4" x14ac:dyDescent="0.25">
      <c r="A32" s="1">
        <f>IF(CALCULO!Q32="","",CALCULO!Q32)</f>
        <v>5518752.0662585171</v>
      </c>
      <c r="B32" s="1">
        <f>IF(CALCULO!R32="","",CALCULO!R32)</f>
        <v>6577667.1401904738</v>
      </c>
      <c r="C32" s="1">
        <f t="shared" si="0"/>
        <v>1</v>
      </c>
      <c r="D32" s="1" t="str">
        <f t="shared" si="1"/>
        <v>MS10</v>
      </c>
    </row>
    <row r="33" spans="1:4" x14ac:dyDescent="0.25">
      <c r="A33" s="1">
        <f>IF(CALCULO!Q33="","",CALCULO!Q33)</f>
        <v>5518758.6602040958</v>
      </c>
      <c r="B33" s="1">
        <f>IF(CALCULO!R33="","",CALCULO!R33)</f>
        <v>6577674.5975714261</v>
      </c>
      <c r="C33" s="1">
        <f t="shared" si="0"/>
        <v>1</v>
      </c>
      <c r="D33" s="1" t="str">
        <f t="shared" si="1"/>
        <v>MS10</v>
      </c>
    </row>
    <row r="34" spans="1:4" x14ac:dyDescent="0.25">
      <c r="A34" s="1">
        <f>IF(CALCULO!Q34="","",CALCULO!Q34)</f>
        <v>5518765.2541496744</v>
      </c>
      <c r="B34" s="1">
        <f>IF(CALCULO!R34="","",CALCULO!R34)</f>
        <v>6577682.0549523784</v>
      </c>
      <c r="C34" s="1">
        <f t="shared" si="0"/>
        <v>1</v>
      </c>
      <c r="D34" s="1" t="str">
        <f t="shared" si="1"/>
        <v>MS10</v>
      </c>
    </row>
    <row r="35" spans="1:4" x14ac:dyDescent="0.25">
      <c r="A35" s="1">
        <f>IF(CALCULO!Q35="","",CALCULO!Q35)</f>
        <v>5518771.8480952531</v>
      </c>
      <c r="B35" s="1">
        <f>IF(CALCULO!R35="","",CALCULO!R35)</f>
        <v>6577689.5123333307</v>
      </c>
      <c r="C35" s="1">
        <f t="shared" si="0"/>
        <v>1</v>
      </c>
      <c r="D35" s="1" t="str">
        <f t="shared" si="1"/>
        <v>MS10</v>
      </c>
    </row>
    <row r="36" spans="1:4" x14ac:dyDescent="0.25">
      <c r="A36" s="1">
        <f>IF(CALCULO!Q36="","",CALCULO!Q36)</f>
        <v>5518778.4420408318</v>
      </c>
      <c r="B36" s="1">
        <f>IF(CALCULO!R36="","",CALCULO!R36)</f>
        <v>6577696.969714283</v>
      </c>
      <c r="C36" s="1">
        <f t="shared" si="0"/>
        <v>1</v>
      </c>
      <c r="D36" s="1" t="str">
        <f t="shared" si="1"/>
        <v>MS10</v>
      </c>
    </row>
    <row r="37" spans="1:4" x14ac:dyDescent="0.25">
      <c r="A37" s="1">
        <f>IF(CALCULO!Q37="","",CALCULO!Q37)</f>
        <v>5518785.0359864105</v>
      </c>
      <c r="B37" s="1">
        <f>IF(CALCULO!R37="","",CALCULO!R37)</f>
        <v>6577704.4270952353</v>
      </c>
      <c r="C37" s="1">
        <f t="shared" si="0"/>
        <v>1</v>
      </c>
      <c r="D37" s="1" t="str">
        <f t="shared" si="1"/>
        <v>MS10</v>
      </c>
    </row>
    <row r="38" spans="1:4" x14ac:dyDescent="0.25">
      <c r="A38" s="1">
        <f>IF(CALCULO!Q38="","",CALCULO!Q38)</f>
        <v>5518791.6299319891</v>
      </c>
      <c r="B38" s="1">
        <f>IF(CALCULO!R38="","",CALCULO!R38)</f>
        <v>6577711.8844761876</v>
      </c>
      <c r="C38" s="1">
        <f t="shared" si="0"/>
        <v>1</v>
      </c>
      <c r="D38" s="1" t="str">
        <f t="shared" si="1"/>
        <v>MS10</v>
      </c>
    </row>
    <row r="39" spans="1:4" x14ac:dyDescent="0.25">
      <c r="A39" s="1">
        <f>IF(CALCULO!Q39="","",CALCULO!Q39)</f>
        <v>5518798.2238775678</v>
      </c>
      <c r="B39" s="1">
        <f>IF(CALCULO!R39="","",CALCULO!R39)</f>
        <v>6577719.34185714</v>
      </c>
      <c r="C39" s="1">
        <f t="shared" si="0"/>
        <v>1</v>
      </c>
      <c r="D39" s="1" t="str">
        <f t="shared" si="1"/>
        <v>MS10</v>
      </c>
    </row>
    <row r="40" spans="1:4" x14ac:dyDescent="0.25">
      <c r="A40" s="1">
        <f>IF(CALCULO!Q40="","",CALCULO!Q40)</f>
        <v>5518804.8178231465</v>
      </c>
      <c r="B40" s="1">
        <f>IF(CALCULO!R40="","",CALCULO!R40)</f>
        <v>6577726.7992380923</v>
      </c>
      <c r="C40" s="1">
        <f t="shared" si="0"/>
        <v>1</v>
      </c>
      <c r="D40" s="1" t="str">
        <f t="shared" si="1"/>
        <v>MS10</v>
      </c>
    </row>
    <row r="41" spans="1:4" x14ac:dyDescent="0.25">
      <c r="A41" s="1">
        <f>IF(CALCULO!Q41="","",CALCULO!Q41)</f>
        <v>5518811.4117687251</v>
      </c>
      <c r="B41" s="1">
        <f>IF(CALCULO!R41="","",CALCULO!R41)</f>
        <v>6577734.2566190446</v>
      </c>
      <c r="C41" s="1">
        <f t="shared" si="0"/>
        <v>1</v>
      </c>
      <c r="D41" s="1" t="str">
        <f t="shared" si="1"/>
        <v>MS10</v>
      </c>
    </row>
    <row r="42" spans="1:4" x14ac:dyDescent="0.25">
      <c r="A42" s="1">
        <f>IF(CALCULO!Q42="","",CALCULO!Q42)</f>
        <v>5518818.0057143038</v>
      </c>
      <c r="B42" s="1">
        <f>IF(CALCULO!R42="","",CALCULO!R42)</f>
        <v>6577741.7139999969</v>
      </c>
      <c r="C42" s="1">
        <f t="shared" si="0"/>
        <v>1</v>
      </c>
      <c r="D42" s="1" t="str">
        <f t="shared" si="1"/>
        <v>MS10</v>
      </c>
    </row>
    <row r="43" spans="1:4" x14ac:dyDescent="0.25">
      <c r="A43" s="1">
        <f>IF(CALCULO!Q43="","",CALCULO!Q43)</f>
        <v>5518824.5996598825</v>
      </c>
      <c r="B43" s="1">
        <f>IF(CALCULO!R43="","",CALCULO!R43)</f>
        <v>6577749.1713809492</v>
      </c>
      <c r="C43" s="1">
        <f t="shared" si="0"/>
        <v>1</v>
      </c>
      <c r="D43" s="1" t="str">
        <f t="shared" si="1"/>
        <v>MS10</v>
      </c>
    </row>
    <row r="44" spans="1:4" x14ac:dyDescent="0.25">
      <c r="A44" s="1">
        <f>IF(CALCULO!Q44="","",CALCULO!Q44)</f>
        <v>5518831.1936054612</v>
      </c>
      <c r="B44" s="1">
        <f>IF(CALCULO!R44="","",CALCULO!R44)</f>
        <v>6577756.6287619015</v>
      </c>
      <c r="C44" s="1">
        <f t="shared" si="0"/>
        <v>1</v>
      </c>
      <c r="D44" s="1" t="str">
        <f t="shared" si="1"/>
        <v>MS10</v>
      </c>
    </row>
    <row r="45" spans="1:4" x14ac:dyDescent="0.25">
      <c r="A45" s="1">
        <f>IF(CALCULO!Q45="","",CALCULO!Q45)</f>
        <v>5518837.7875510398</v>
      </c>
      <c r="B45" s="1">
        <f>IF(CALCULO!R45="","",CALCULO!R45)</f>
        <v>6577764.0861428538</v>
      </c>
      <c r="C45" s="1">
        <f t="shared" si="0"/>
        <v>1</v>
      </c>
      <c r="D45" s="1" t="str">
        <f t="shared" si="1"/>
        <v>MS10</v>
      </c>
    </row>
    <row r="46" spans="1:4" x14ac:dyDescent="0.25">
      <c r="A46" s="1">
        <f>IF(CALCULO!Q46="","",CALCULO!Q46)</f>
        <v>5518844.3814966185</v>
      </c>
      <c r="B46" s="1">
        <f>IF(CALCULO!R46="","",CALCULO!R46)</f>
        <v>6577771.5435238061</v>
      </c>
      <c r="C46" s="1">
        <f t="shared" si="0"/>
        <v>1</v>
      </c>
      <c r="D46" s="1" t="str">
        <f t="shared" si="1"/>
        <v>MS10</v>
      </c>
    </row>
    <row r="47" spans="1:4" x14ac:dyDescent="0.25">
      <c r="A47" s="1">
        <f>IF(CALCULO!Q47="","",CALCULO!Q47)</f>
        <v>5518850.9754421972</v>
      </c>
      <c r="B47" s="1">
        <f>IF(CALCULO!R47="","",CALCULO!R47)</f>
        <v>6577779.0009047585</v>
      </c>
      <c r="C47" s="1">
        <f t="shared" si="0"/>
        <v>1</v>
      </c>
      <c r="D47" s="1" t="str">
        <f t="shared" si="1"/>
        <v>MS10</v>
      </c>
    </row>
    <row r="48" spans="1:4" x14ac:dyDescent="0.25">
      <c r="A48" s="1">
        <f>IF(CALCULO!Q48="","",CALCULO!Q48)</f>
        <v>5518857.5693877758</v>
      </c>
      <c r="B48" s="1">
        <f>IF(CALCULO!R48="","",CALCULO!R48)</f>
        <v>6577786.4582857108</v>
      </c>
      <c r="C48" s="1">
        <f t="shared" si="0"/>
        <v>1</v>
      </c>
      <c r="D48" s="1" t="str">
        <f t="shared" si="1"/>
        <v>MS10</v>
      </c>
    </row>
    <row r="49" spans="1:4" x14ac:dyDescent="0.25">
      <c r="A49" s="1">
        <f>IF(CALCULO!Q49="","",CALCULO!Q49)</f>
        <v>5518864.1633333545</v>
      </c>
      <c r="B49" s="1">
        <f>IF(CALCULO!R49="","",CALCULO!R49)</f>
        <v>6577793.9156666631</v>
      </c>
      <c r="C49" s="1">
        <f t="shared" si="0"/>
        <v>1</v>
      </c>
      <c r="D49" s="1" t="str">
        <f t="shared" si="1"/>
        <v>MS10</v>
      </c>
    </row>
    <row r="50" spans="1:4" x14ac:dyDescent="0.25">
      <c r="A50" s="1">
        <f>IF(CALCULO!Q50="","",CALCULO!Q50)</f>
        <v>5518870.7572789332</v>
      </c>
      <c r="B50" s="1">
        <f>IF(CALCULO!R50="","",CALCULO!R50)</f>
        <v>6577801.3730476154</v>
      </c>
      <c r="C50" s="1">
        <f t="shared" si="0"/>
        <v>1</v>
      </c>
      <c r="D50" s="1" t="str">
        <f t="shared" si="1"/>
        <v>MS10</v>
      </c>
    </row>
    <row r="51" spans="1:4" x14ac:dyDescent="0.25">
      <c r="A51" s="1">
        <f>IF(CALCULO!Q51="","",CALCULO!Q51)</f>
        <v>5518877.3512245119</v>
      </c>
      <c r="B51" s="1">
        <f>IF(CALCULO!R51="","",CALCULO!R51)</f>
        <v>6577808.8304285677</v>
      </c>
      <c r="C51" s="1">
        <f t="shared" si="0"/>
        <v>1</v>
      </c>
      <c r="D51" s="1" t="str">
        <f t="shared" si="1"/>
        <v>MS10</v>
      </c>
    </row>
    <row r="52" spans="1:4" x14ac:dyDescent="0.25">
      <c r="A52" s="1">
        <f>IF(CALCULO!Q52="","",CALCULO!Q52)</f>
        <v>5518883.9451700905</v>
      </c>
      <c r="B52" s="1">
        <f>IF(CALCULO!R52="","",CALCULO!R52)</f>
        <v>6577816.28780952</v>
      </c>
      <c r="C52" s="1">
        <f t="shared" si="0"/>
        <v>1</v>
      </c>
      <c r="D52" s="1" t="str">
        <f t="shared" si="1"/>
        <v>MS10</v>
      </c>
    </row>
    <row r="53" spans="1:4" x14ac:dyDescent="0.25">
      <c r="A53" s="1">
        <f>IF(CALCULO!Q53="","",CALCULO!Q53)</f>
        <v>5518890.5391156692</v>
      </c>
      <c r="B53" s="1">
        <f>IF(CALCULO!R53="","",CALCULO!R53)</f>
        <v>6577823.7451904723</v>
      </c>
      <c r="C53" s="1">
        <f t="shared" si="0"/>
        <v>1</v>
      </c>
      <c r="D53" s="1" t="str">
        <f t="shared" si="1"/>
        <v>MS10</v>
      </c>
    </row>
    <row r="54" spans="1:4" x14ac:dyDescent="0.25">
      <c r="A54" s="1">
        <f>IF(CALCULO!Q54="","",CALCULO!Q54)</f>
        <v>5518897.1330612479</v>
      </c>
      <c r="B54" s="1">
        <f>IF(CALCULO!R54="","",CALCULO!R54)</f>
        <v>6577831.2025714247</v>
      </c>
      <c r="C54" s="1">
        <f t="shared" si="0"/>
        <v>1</v>
      </c>
      <c r="D54" s="1" t="str">
        <f t="shared" si="1"/>
        <v>MS10</v>
      </c>
    </row>
    <row r="55" spans="1:4" x14ac:dyDescent="0.25">
      <c r="A55" s="1">
        <f>IF(CALCULO!Q55="","",CALCULO!Q55)</f>
        <v>5518903.7270068265</v>
      </c>
      <c r="B55" s="1">
        <f>IF(CALCULO!R55="","",CALCULO!R55)</f>
        <v>6577838.659952377</v>
      </c>
      <c r="C55" s="1">
        <f t="shared" si="0"/>
        <v>1</v>
      </c>
      <c r="D55" s="1" t="str">
        <f t="shared" si="1"/>
        <v>MS10</v>
      </c>
    </row>
    <row r="56" spans="1:4" x14ac:dyDescent="0.25">
      <c r="A56" s="1">
        <f>IF(CALCULO!Q56="","",CALCULO!Q56)</f>
        <v>5518910.3209524052</v>
      </c>
      <c r="B56" s="1">
        <f>IF(CALCULO!R56="","",CALCULO!R56)</f>
        <v>6577846.1173333293</v>
      </c>
      <c r="C56" s="1">
        <f t="shared" si="0"/>
        <v>1</v>
      </c>
      <c r="D56" s="1" t="str">
        <f t="shared" si="1"/>
        <v>MS10</v>
      </c>
    </row>
    <row r="57" spans="1:4" x14ac:dyDescent="0.25">
      <c r="A57" s="1">
        <f>IF(CALCULO!Q57="","",CALCULO!Q57)</f>
        <v>5518916.9148979839</v>
      </c>
      <c r="B57" s="1">
        <f>IF(CALCULO!R57="","",CALCULO!R57)</f>
        <v>6577853.5747142816</v>
      </c>
      <c r="C57" s="1">
        <f t="shared" si="0"/>
        <v>1</v>
      </c>
      <c r="D57" s="1" t="str">
        <f t="shared" si="1"/>
        <v>MS10</v>
      </c>
    </row>
    <row r="58" spans="1:4" x14ac:dyDescent="0.25">
      <c r="A58" s="1">
        <f>IF(CALCULO!Q58="","",CALCULO!Q58)</f>
        <v>5518923.5088435626</v>
      </c>
      <c r="B58" s="1">
        <f>IF(CALCULO!R58="","",CALCULO!R58)</f>
        <v>6577861.0320952339</v>
      </c>
      <c r="C58" s="1">
        <f t="shared" si="0"/>
        <v>1</v>
      </c>
      <c r="D58" s="1" t="str">
        <f t="shared" si="1"/>
        <v>MS10</v>
      </c>
    </row>
    <row r="59" spans="1:4" x14ac:dyDescent="0.25">
      <c r="A59" s="1">
        <f>IF(CALCULO!Q59="","",CALCULO!Q59)</f>
        <v>5518930.1027891412</v>
      </c>
      <c r="B59" s="1">
        <f>IF(CALCULO!R59="","",CALCULO!R59)</f>
        <v>6577868.4894761862</v>
      </c>
      <c r="C59" s="1">
        <f t="shared" si="0"/>
        <v>1</v>
      </c>
      <c r="D59" s="1" t="str">
        <f t="shared" si="1"/>
        <v>MS10</v>
      </c>
    </row>
    <row r="60" spans="1:4" x14ac:dyDescent="0.25">
      <c r="A60" s="1">
        <f>IF(CALCULO!Q60="","",CALCULO!Q60)</f>
        <v>5518936.6967347199</v>
      </c>
      <c r="B60" s="1">
        <f>IF(CALCULO!R60="","",CALCULO!R60)</f>
        <v>6577875.9468571385</v>
      </c>
      <c r="C60" s="1">
        <f t="shared" si="0"/>
        <v>1</v>
      </c>
      <c r="D60" s="1" t="str">
        <f t="shared" si="1"/>
        <v>MS10</v>
      </c>
    </row>
    <row r="61" spans="1:4" x14ac:dyDescent="0.25">
      <c r="A61" s="1">
        <f>IF(CALCULO!Q61="","",CALCULO!Q61)</f>
        <v>5518943.2906802986</v>
      </c>
      <c r="B61" s="1">
        <f>IF(CALCULO!R61="","",CALCULO!R61)</f>
        <v>6577883.4042380909</v>
      </c>
      <c r="C61" s="1">
        <f t="shared" si="0"/>
        <v>1</v>
      </c>
      <c r="D61" s="1" t="str">
        <f t="shared" si="1"/>
        <v>MS10</v>
      </c>
    </row>
    <row r="62" spans="1:4" x14ac:dyDescent="0.25">
      <c r="A62" s="1">
        <f>IF(CALCULO!Q62="","",CALCULO!Q62)</f>
        <v>5518949.8846258773</v>
      </c>
      <c r="B62" s="1">
        <f>IF(CALCULO!R62="","",CALCULO!R62)</f>
        <v>6577890.8616190432</v>
      </c>
      <c r="C62" s="1">
        <f t="shared" si="0"/>
        <v>1</v>
      </c>
      <c r="D62" s="1" t="str">
        <f t="shared" si="1"/>
        <v>MS10</v>
      </c>
    </row>
    <row r="63" spans="1:4" x14ac:dyDescent="0.25">
      <c r="A63" s="1">
        <f>IF(CALCULO!Q63="","",CALCULO!Q63)</f>
        <v>5518956.4785714559</v>
      </c>
      <c r="B63" s="1">
        <f>IF(CALCULO!R63="","",CALCULO!R63)</f>
        <v>6577898.3189999955</v>
      </c>
      <c r="C63" s="1">
        <f t="shared" si="0"/>
        <v>1</v>
      </c>
      <c r="D63" s="1" t="str">
        <f t="shared" si="1"/>
        <v>MS10</v>
      </c>
    </row>
    <row r="64" spans="1:4" x14ac:dyDescent="0.25">
      <c r="A64" s="1">
        <f>IF(CALCULO!Q64="","",CALCULO!Q64)</f>
        <v>5518963.0725170346</v>
      </c>
      <c r="B64" s="1">
        <f>IF(CALCULO!R64="","",CALCULO!R64)</f>
        <v>6577905.7763809478</v>
      </c>
      <c r="C64" s="1">
        <f t="shared" si="0"/>
        <v>1</v>
      </c>
      <c r="D64" s="1" t="str">
        <f t="shared" si="1"/>
        <v>MS10</v>
      </c>
    </row>
    <row r="65" spans="1:4" x14ac:dyDescent="0.25">
      <c r="A65" s="1">
        <f>IF(CALCULO!Q65="","",CALCULO!Q65)</f>
        <v>5518969.6664626133</v>
      </c>
      <c r="B65" s="1">
        <f>IF(CALCULO!R65="","",CALCULO!R65)</f>
        <v>6577913.2337619001</v>
      </c>
      <c r="C65" s="1">
        <f t="shared" ref="C65:C128" si="2">IF(OR(A65="",B65=""),"",1)</f>
        <v>1</v>
      </c>
      <c r="D65" s="1" t="str">
        <f t="shared" si="1"/>
        <v>MS10</v>
      </c>
    </row>
    <row r="66" spans="1:4" x14ac:dyDescent="0.25">
      <c r="A66" s="1">
        <f>IF(CALCULO!Q66="","",CALCULO!Q66)</f>
        <v>5518976.2604081919</v>
      </c>
      <c r="B66" s="1">
        <f>IF(CALCULO!R66="","",CALCULO!R66)</f>
        <v>6577920.6911428524</v>
      </c>
      <c r="C66" s="1">
        <f t="shared" si="2"/>
        <v>1</v>
      </c>
      <c r="D66" s="1" t="str">
        <f t="shared" ref="D66:D129" si="3">IF(A66&lt;&gt;"","MS10","")</f>
        <v>MS10</v>
      </c>
    </row>
    <row r="67" spans="1:4" x14ac:dyDescent="0.25">
      <c r="A67" s="1">
        <f>IF(CALCULO!Q67="","",CALCULO!Q67)</f>
        <v>5518982.8543537706</v>
      </c>
      <c r="B67" s="1">
        <f>IF(CALCULO!R67="","",CALCULO!R67)</f>
        <v>6577928.1485238047</v>
      </c>
      <c r="C67" s="1">
        <f t="shared" si="2"/>
        <v>1</v>
      </c>
      <c r="D67" s="1" t="str">
        <f t="shared" si="3"/>
        <v>MS10</v>
      </c>
    </row>
    <row r="68" spans="1:4" x14ac:dyDescent="0.25">
      <c r="A68" s="1">
        <f>IF(CALCULO!Q68="","",CALCULO!Q68)</f>
        <v>5518989.4482993493</v>
      </c>
      <c r="B68" s="1">
        <f>IF(CALCULO!R68="","",CALCULO!R68)</f>
        <v>6577935.605904757</v>
      </c>
      <c r="C68" s="1">
        <f t="shared" si="2"/>
        <v>1</v>
      </c>
      <c r="D68" s="1" t="str">
        <f t="shared" si="3"/>
        <v>MS10</v>
      </c>
    </row>
    <row r="69" spans="1:4" x14ac:dyDescent="0.25">
      <c r="A69" s="1">
        <f>IF(CALCULO!Q69="","",CALCULO!Q69)</f>
        <v>5518996.042244928</v>
      </c>
      <c r="B69" s="1">
        <f>IF(CALCULO!R69="","",CALCULO!R69)</f>
        <v>6577943.0632857094</v>
      </c>
      <c r="C69" s="1">
        <f t="shared" si="2"/>
        <v>1</v>
      </c>
      <c r="D69" s="1" t="str">
        <f t="shared" si="3"/>
        <v>MS10</v>
      </c>
    </row>
    <row r="70" spans="1:4" x14ac:dyDescent="0.25">
      <c r="A70" s="1">
        <f>IF(CALCULO!Q70="","",CALCULO!Q70)</f>
        <v>5519002.6361905066</v>
      </c>
      <c r="B70" s="1">
        <f>IF(CALCULO!R70="","",CALCULO!R70)</f>
        <v>6577950.5206666617</v>
      </c>
      <c r="C70" s="1">
        <f t="shared" si="2"/>
        <v>1</v>
      </c>
      <c r="D70" s="1" t="str">
        <f t="shared" si="3"/>
        <v>MS10</v>
      </c>
    </row>
    <row r="71" spans="1:4" x14ac:dyDescent="0.25">
      <c r="A71" s="1">
        <f>IF(CALCULO!Q71="","",CALCULO!Q71)</f>
        <v>5519009.2301360853</v>
      </c>
      <c r="B71" s="1">
        <f>IF(CALCULO!R71="","",CALCULO!R71)</f>
        <v>6577957.978047614</v>
      </c>
      <c r="C71" s="1">
        <f t="shared" si="2"/>
        <v>1</v>
      </c>
      <c r="D71" s="1" t="str">
        <f t="shared" si="3"/>
        <v>MS10</v>
      </c>
    </row>
    <row r="72" spans="1:4" x14ac:dyDescent="0.25">
      <c r="A72" s="1">
        <f>IF(CALCULO!Q72="","",CALCULO!Q72)</f>
        <v>5519015.824081664</v>
      </c>
      <c r="B72" s="1">
        <f>IF(CALCULO!R72="","",CALCULO!R72)</f>
        <v>6577965.4354285663</v>
      </c>
      <c r="C72" s="1">
        <f t="shared" si="2"/>
        <v>1</v>
      </c>
      <c r="D72" s="1" t="str">
        <f t="shared" si="3"/>
        <v>MS10</v>
      </c>
    </row>
    <row r="73" spans="1:4" x14ac:dyDescent="0.25">
      <c r="A73" s="1">
        <f>IF(CALCULO!Q73="","",CALCULO!Q73)</f>
        <v>5519022.4180272426</v>
      </c>
      <c r="B73" s="1">
        <f>IF(CALCULO!R73="","",CALCULO!R73)</f>
        <v>6577972.8928095186</v>
      </c>
      <c r="C73" s="1">
        <f t="shared" si="2"/>
        <v>1</v>
      </c>
      <c r="D73" s="1" t="str">
        <f t="shared" si="3"/>
        <v>MS10</v>
      </c>
    </row>
    <row r="74" spans="1:4" x14ac:dyDescent="0.25">
      <c r="A74" s="1">
        <f>IF(CALCULO!Q74="","",CALCULO!Q74)</f>
        <v>5519029.0119728213</v>
      </c>
      <c r="B74" s="1">
        <f>IF(CALCULO!R74="","",CALCULO!R74)</f>
        <v>6577980.3501904709</v>
      </c>
      <c r="C74" s="1">
        <f t="shared" si="2"/>
        <v>1</v>
      </c>
      <c r="D74" s="1" t="str">
        <f t="shared" si="3"/>
        <v>MS10</v>
      </c>
    </row>
    <row r="75" spans="1:4" x14ac:dyDescent="0.25">
      <c r="A75" s="1">
        <f>IF(CALCULO!Q75="","",CALCULO!Q75)</f>
        <v>5519035.6059184</v>
      </c>
      <c r="B75" s="1">
        <f>IF(CALCULO!R75="","",CALCULO!R75)</f>
        <v>6577987.8075714232</v>
      </c>
      <c r="C75" s="1">
        <f t="shared" si="2"/>
        <v>1</v>
      </c>
      <c r="D75" s="1" t="str">
        <f t="shared" si="3"/>
        <v>MS10</v>
      </c>
    </row>
    <row r="76" spans="1:4" x14ac:dyDescent="0.25">
      <c r="A76" s="1">
        <f>IF(CALCULO!Q76="","",CALCULO!Q76)</f>
        <v>5519042.1998639787</v>
      </c>
      <c r="B76" s="1">
        <f>IF(CALCULO!R76="","",CALCULO!R76)</f>
        <v>6577995.2649523756</v>
      </c>
      <c r="C76" s="1">
        <f t="shared" si="2"/>
        <v>1</v>
      </c>
      <c r="D76" s="1" t="str">
        <f t="shared" si="3"/>
        <v>MS10</v>
      </c>
    </row>
    <row r="77" spans="1:4" x14ac:dyDescent="0.25">
      <c r="A77" s="1">
        <f>IF(CALCULO!Q77="","",CALCULO!Q77)</f>
        <v>5519048.7938095573</v>
      </c>
      <c r="B77" s="1">
        <f>IF(CALCULO!R77="","",CALCULO!R77)</f>
        <v>6578002.7223333279</v>
      </c>
      <c r="C77" s="1">
        <f t="shared" si="2"/>
        <v>1</v>
      </c>
      <c r="D77" s="1" t="str">
        <f t="shared" si="3"/>
        <v>MS10</v>
      </c>
    </row>
    <row r="78" spans="1:4" x14ac:dyDescent="0.25">
      <c r="A78" s="1">
        <f>IF(CALCULO!Q78="","",CALCULO!Q78)</f>
        <v>5519055.387755136</v>
      </c>
      <c r="B78" s="1">
        <f>IF(CALCULO!R78="","",CALCULO!R78)</f>
        <v>6578010.1797142802</v>
      </c>
      <c r="C78" s="1">
        <f t="shared" si="2"/>
        <v>1</v>
      </c>
      <c r="D78" s="1" t="str">
        <f t="shared" si="3"/>
        <v>MS10</v>
      </c>
    </row>
    <row r="79" spans="1:4" x14ac:dyDescent="0.25">
      <c r="A79" s="1">
        <f>IF(CALCULO!Q79="","",CALCULO!Q79)</f>
        <v>5519061.9817007147</v>
      </c>
      <c r="B79" s="1">
        <f>IF(CALCULO!R79="","",CALCULO!R79)</f>
        <v>6578017.6370952325</v>
      </c>
      <c r="C79" s="1">
        <f t="shared" si="2"/>
        <v>1</v>
      </c>
      <c r="D79" s="1" t="str">
        <f t="shared" si="3"/>
        <v>MS10</v>
      </c>
    </row>
    <row r="80" spans="1:4" x14ac:dyDescent="0.25">
      <c r="A80" s="1">
        <f>IF(CALCULO!Q80="","",CALCULO!Q80)</f>
        <v>5519068.5756462933</v>
      </c>
      <c r="B80" s="1">
        <f>IF(CALCULO!R80="","",CALCULO!R80)</f>
        <v>6578025.0944761848</v>
      </c>
      <c r="C80" s="1">
        <f t="shared" si="2"/>
        <v>1</v>
      </c>
      <c r="D80" s="1" t="str">
        <f t="shared" si="3"/>
        <v>MS10</v>
      </c>
    </row>
    <row r="81" spans="1:4" x14ac:dyDescent="0.25">
      <c r="A81" s="1">
        <f>IF(CALCULO!Q81="","",CALCULO!Q81)</f>
        <v>5519075.169591872</v>
      </c>
      <c r="B81" s="1">
        <f>IF(CALCULO!R81="","",CALCULO!R81)</f>
        <v>6578032.5518571371</v>
      </c>
      <c r="C81" s="1">
        <f t="shared" si="2"/>
        <v>1</v>
      </c>
      <c r="D81" s="1" t="str">
        <f t="shared" si="3"/>
        <v>MS10</v>
      </c>
    </row>
    <row r="82" spans="1:4" x14ac:dyDescent="0.25">
      <c r="A82" s="1">
        <f>IF(CALCULO!Q82="","",CALCULO!Q82)</f>
        <v>5519081.7635374507</v>
      </c>
      <c r="B82" s="1">
        <f>IF(CALCULO!R82="","",CALCULO!R82)</f>
        <v>6578040.0092380894</v>
      </c>
      <c r="C82" s="1">
        <f t="shared" si="2"/>
        <v>1</v>
      </c>
      <c r="D82" s="1" t="str">
        <f t="shared" si="3"/>
        <v>MS10</v>
      </c>
    </row>
    <row r="83" spans="1:4" x14ac:dyDescent="0.25">
      <c r="A83" s="1">
        <f>IF(CALCULO!Q83="","",CALCULO!Q83)</f>
        <v>5519088.3574830294</v>
      </c>
      <c r="B83" s="1">
        <f>IF(CALCULO!R83="","",CALCULO!R83)</f>
        <v>6578047.4666190417</v>
      </c>
      <c r="C83" s="1">
        <f t="shared" si="2"/>
        <v>1</v>
      </c>
      <c r="D83" s="1" t="str">
        <f t="shared" si="3"/>
        <v>MS10</v>
      </c>
    </row>
    <row r="84" spans="1:4" x14ac:dyDescent="0.25">
      <c r="A84" s="1">
        <f>IF(CALCULO!Q84="","",CALCULO!Q84)</f>
        <v>5519094.951428608</v>
      </c>
      <c r="B84" s="1">
        <f>IF(CALCULO!R84="","",CALCULO!R84)</f>
        <v>6578054.9239999941</v>
      </c>
      <c r="C84" s="1">
        <f t="shared" si="2"/>
        <v>1</v>
      </c>
      <c r="D84" s="1" t="str">
        <f t="shared" si="3"/>
        <v>MS10</v>
      </c>
    </row>
    <row r="85" spans="1:4" x14ac:dyDescent="0.25">
      <c r="A85" s="1">
        <f>IF(CALCULO!Q85="","",CALCULO!Q85)</f>
        <v>5519101.5453741867</v>
      </c>
      <c r="B85" s="1">
        <f>IF(CALCULO!R85="","",CALCULO!R85)</f>
        <v>6578062.3813809464</v>
      </c>
      <c r="C85" s="1">
        <f t="shared" si="2"/>
        <v>1</v>
      </c>
      <c r="D85" s="1" t="str">
        <f t="shared" si="3"/>
        <v>MS10</v>
      </c>
    </row>
    <row r="86" spans="1:4" x14ac:dyDescent="0.25">
      <c r="A86" s="1">
        <f>IF(CALCULO!Q86="","",CALCULO!Q86)</f>
        <v>5519108.1393197654</v>
      </c>
      <c r="B86" s="1">
        <f>IF(CALCULO!R86="","",CALCULO!R86)</f>
        <v>6578069.8387618987</v>
      </c>
      <c r="C86" s="1">
        <f t="shared" si="2"/>
        <v>1</v>
      </c>
      <c r="D86" s="1" t="str">
        <f t="shared" si="3"/>
        <v>MS10</v>
      </c>
    </row>
    <row r="87" spans="1:4" x14ac:dyDescent="0.25">
      <c r="A87" s="1">
        <f>IF(CALCULO!Q87="","",CALCULO!Q87)</f>
        <v>5519114.7332653441</v>
      </c>
      <c r="B87" s="1">
        <f>IF(CALCULO!R87="","",CALCULO!R87)</f>
        <v>6578077.296142851</v>
      </c>
      <c r="C87" s="1">
        <f t="shared" si="2"/>
        <v>1</v>
      </c>
      <c r="D87" s="1" t="str">
        <f t="shared" si="3"/>
        <v>MS10</v>
      </c>
    </row>
    <row r="88" spans="1:4" x14ac:dyDescent="0.25">
      <c r="A88" s="1">
        <f>IF(CALCULO!Q88="","",CALCULO!Q88)</f>
        <v>5519121.3272109227</v>
      </c>
      <c r="B88" s="1">
        <f>IF(CALCULO!R88="","",CALCULO!R88)</f>
        <v>6578084.7535238033</v>
      </c>
      <c r="C88" s="1">
        <f t="shared" si="2"/>
        <v>1</v>
      </c>
      <c r="D88" s="1" t="str">
        <f t="shared" si="3"/>
        <v>MS10</v>
      </c>
    </row>
    <row r="89" spans="1:4" x14ac:dyDescent="0.25">
      <c r="A89" s="1">
        <f>IF(CALCULO!Q89="","",CALCULO!Q89)</f>
        <v>5519127.9211565014</v>
      </c>
      <c r="B89" s="1">
        <f>IF(CALCULO!R89="","",CALCULO!R89)</f>
        <v>6578092.2109047556</v>
      </c>
      <c r="C89" s="1">
        <f t="shared" si="2"/>
        <v>1</v>
      </c>
      <c r="D89" s="1" t="str">
        <f t="shared" si="3"/>
        <v>MS10</v>
      </c>
    </row>
    <row r="90" spans="1:4" x14ac:dyDescent="0.25">
      <c r="A90" s="1">
        <f>IF(CALCULO!Q90="","",CALCULO!Q90)</f>
        <v>5519134.5151020801</v>
      </c>
      <c r="B90" s="1">
        <f>IF(CALCULO!R90="","",CALCULO!R90)</f>
        <v>6578099.6682857079</v>
      </c>
      <c r="C90" s="1">
        <f t="shared" si="2"/>
        <v>1</v>
      </c>
      <c r="D90" s="1" t="str">
        <f t="shared" si="3"/>
        <v>MS10</v>
      </c>
    </row>
    <row r="91" spans="1:4" x14ac:dyDescent="0.25">
      <c r="A91" s="1">
        <f>IF(CALCULO!Q91="","",CALCULO!Q91)</f>
        <v>5519141.1090476587</v>
      </c>
      <c r="B91" s="1">
        <f>IF(CALCULO!R91="","",CALCULO!R91)</f>
        <v>6578107.1256666603</v>
      </c>
      <c r="C91" s="1">
        <f t="shared" si="2"/>
        <v>1</v>
      </c>
      <c r="D91" s="1" t="str">
        <f t="shared" si="3"/>
        <v>MS10</v>
      </c>
    </row>
    <row r="92" spans="1:4" x14ac:dyDescent="0.25">
      <c r="A92" s="1">
        <f>IF(CALCULO!Q92="","",CALCULO!Q92)</f>
        <v>5519147.7029932374</v>
      </c>
      <c r="B92" s="1">
        <f>IF(CALCULO!R92="","",CALCULO!R92)</f>
        <v>6578114.5830476126</v>
      </c>
      <c r="C92" s="1">
        <f t="shared" si="2"/>
        <v>1</v>
      </c>
      <c r="D92" s="1" t="str">
        <f t="shared" si="3"/>
        <v>MS10</v>
      </c>
    </row>
    <row r="93" spans="1:4" x14ac:dyDescent="0.25">
      <c r="A93" s="1">
        <f>IF(CALCULO!Q93="","",CALCULO!Q93)</f>
        <v>5519154.2969388161</v>
      </c>
      <c r="B93" s="1">
        <f>IF(CALCULO!R93="","",CALCULO!R93)</f>
        <v>6578122.0404285649</v>
      </c>
      <c r="C93" s="1">
        <f t="shared" si="2"/>
        <v>1</v>
      </c>
      <c r="D93" s="1" t="str">
        <f t="shared" si="3"/>
        <v>MS10</v>
      </c>
    </row>
    <row r="94" spans="1:4" x14ac:dyDescent="0.25">
      <c r="A94" s="1">
        <f>IF(CALCULO!Q94="","",CALCULO!Q94)</f>
        <v>5519160.8908843948</v>
      </c>
      <c r="B94" s="1">
        <f>IF(CALCULO!R94="","",CALCULO!R94)</f>
        <v>6578129.4978095172</v>
      </c>
      <c r="C94" s="1">
        <f t="shared" si="2"/>
        <v>1</v>
      </c>
      <c r="D94" s="1" t="str">
        <f t="shared" si="3"/>
        <v>MS10</v>
      </c>
    </row>
    <row r="95" spans="1:4" x14ac:dyDescent="0.25">
      <c r="A95" s="1">
        <f>IF(CALCULO!Q95="","",CALCULO!Q95)</f>
        <v>5519167.4848299734</v>
      </c>
      <c r="B95" s="1">
        <f>IF(CALCULO!R95="","",CALCULO!R95)</f>
        <v>6578136.9551904695</v>
      </c>
      <c r="C95" s="1">
        <f t="shared" si="2"/>
        <v>1</v>
      </c>
      <c r="D95" s="1" t="str">
        <f t="shared" si="3"/>
        <v>MS10</v>
      </c>
    </row>
    <row r="96" spans="1:4" x14ac:dyDescent="0.25">
      <c r="A96" s="1">
        <f>IF(CALCULO!Q96="","",CALCULO!Q96)</f>
        <v>5519174.0787755521</v>
      </c>
      <c r="B96" s="1">
        <f>IF(CALCULO!R96="","",CALCULO!R96)</f>
        <v>6578144.4125714218</v>
      </c>
      <c r="C96" s="1">
        <f t="shared" si="2"/>
        <v>1</v>
      </c>
      <c r="D96" s="1" t="str">
        <f t="shared" si="3"/>
        <v>MS10</v>
      </c>
    </row>
    <row r="97" spans="1:4" x14ac:dyDescent="0.25">
      <c r="A97" s="1">
        <f>IF(CALCULO!Q97="","",CALCULO!Q97)</f>
        <v>5519180.6727211308</v>
      </c>
      <c r="B97" s="1">
        <f>IF(CALCULO!R97="","",CALCULO!R97)</f>
        <v>6578151.8699523741</v>
      </c>
      <c r="C97" s="1">
        <f t="shared" si="2"/>
        <v>1</v>
      </c>
      <c r="D97" s="1" t="str">
        <f t="shared" si="3"/>
        <v>MS10</v>
      </c>
    </row>
    <row r="98" spans="1:4" x14ac:dyDescent="0.25">
      <c r="A98" s="1">
        <f>IF(CALCULO!Q98="","",CALCULO!Q98)</f>
        <v>5519187.2666667094</v>
      </c>
      <c r="B98" s="1">
        <f>IF(CALCULO!R98="","",CALCULO!R98)</f>
        <v>6578159.3273333265</v>
      </c>
      <c r="C98" s="1">
        <f t="shared" si="2"/>
        <v>1</v>
      </c>
      <c r="D98" s="1" t="str">
        <f t="shared" si="3"/>
        <v>MS10</v>
      </c>
    </row>
    <row r="99" spans="1:4" x14ac:dyDescent="0.25">
      <c r="A99" s="1">
        <f>IF(CALCULO!Q99="","",CALCULO!Q99)</f>
        <v>5519193.8606122881</v>
      </c>
      <c r="B99" s="1">
        <f>IF(CALCULO!R99="","",CALCULO!R99)</f>
        <v>6578166.7847142788</v>
      </c>
      <c r="C99" s="1">
        <f t="shared" si="2"/>
        <v>1</v>
      </c>
      <c r="D99" s="1" t="str">
        <f t="shared" si="3"/>
        <v>MS10</v>
      </c>
    </row>
    <row r="100" spans="1:4" x14ac:dyDescent="0.25">
      <c r="A100" s="1">
        <f>IF(CALCULO!Q100="","",CALCULO!Q100)</f>
        <v>5519200.4545578668</v>
      </c>
      <c r="B100" s="1">
        <f>IF(CALCULO!R100="","",CALCULO!R100)</f>
        <v>6578174.2420952311</v>
      </c>
      <c r="C100" s="1">
        <f t="shared" si="2"/>
        <v>1</v>
      </c>
      <c r="D100" s="1" t="str">
        <f t="shared" si="3"/>
        <v>MS10</v>
      </c>
    </row>
    <row r="101" spans="1:4" x14ac:dyDescent="0.25">
      <c r="A101" s="1">
        <f>IF(CALCULO!Q101="","",CALCULO!Q101)</f>
        <v>5519207.0485034455</v>
      </c>
      <c r="B101" s="1">
        <f>IF(CALCULO!R101="","",CALCULO!R101)</f>
        <v>6578181.6994761834</v>
      </c>
      <c r="C101" s="1">
        <f t="shared" si="2"/>
        <v>1</v>
      </c>
      <c r="D101" s="1" t="str">
        <f t="shared" si="3"/>
        <v>MS10</v>
      </c>
    </row>
    <row r="102" spans="1:4" x14ac:dyDescent="0.25">
      <c r="A102" s="1">
        <f>IF(CALCULO!Q102="","",CALCULO!Q102)</f>
        <v>5519213.6424490241</v>
      </c>
      <c r="B102" s="1">
        <f>IF(CALCULO!R102="","",CALCULO!R102)</f>
        <v>6578189.1568571357</v>
      </c>
      <c r="C102" s="1">
        <f t="shared" si="2"/>
        <v>1</v>
      </c>
      <c r="D102" s="1" t="str">
        <f t="shared" si="3"/>
        <v>MS10</v>
      </c>
    </row>
    <row r="103" spans="1:4" x14ac:dyDescent="0.25">
      <c r="A103" s="1">
        <f>IF(CALCULO!Q103="","",CALCULO!Q103)</f>
        <v>5519220.2363946028</v>
      </c>
      <c r="B103" s="1">
        <f>IF(CALCULO!R103="","",CALCULO!R103)</f>
        <v>6578196.614238088</v>
      </c>
      <c r="C103" s="1">
        <f t="shared" si="2"/>
        <v>1</v>
      </c>
      <c r="D103" s="1" t="str">
        <f t="shared" si="3"/>
        <v>MS10</v>
      </c>
    </row>
    <row r="104" spans="1:4" x14ac:dyDescent="0.25">
      <c r="A104" s="1">
        <f>IF(CALCULO!Q104="","",CALCULO!Q104)</f>
        <v>5519226.8303401815</v>
      </c>
      <c r="B104" s="1">
        <f>IF(CALCULO!R104="","",CALCULO!R104)</f>
        <v>6578204.0716190403</v>
      </c>
      <c r="C104" s="1">
        <f t="shared" si="2"/>
        <v>1</v>
      </c>
      <c r="D104" s="1" t="str">
        <f t="shared" si="3"/>
        <v>MS10</v>
      </c>
    </row>
    <row r="105" spans="1:4" x14ac:dyDescent="0.25">
      <c r="A105" s="1">
        <f>IF(CALCULO!Q105="","",CALCULO!Q105)</f>
        <v>5519233.4242857601</v>
      </c>
      <c r="B105" s="1">
        <f>IF(CALCULO!R105="","",CALCULO!R105)</f>
        <v>6578211.5289999926</v>
      </c>
      <c r="C105" s="1">
        <f t="shared" si="2"/>
        <v>1</v>
      </c>
      <c r="D105" s="1" t="str">
        <f t="shared" si="3"/>
        <v>MS10</v>
      </c>
    </row>
    <row r="106" spans="1:4" x14ac:dyDescent="0.25">
      <c r="A106" s="1">
        <f>IF(CALCULO!Q106="","",CALCULO!Q106)</f>
        <v>5519240.0182313388</v>
      </c>
      <c r="B106" s="1">
        <f>IF(CALCULO!R106="","",CALCULO!R106)</f>
        <v>6578218.986380945</v>
      </c>
      <c r="C106" s="1">
        <f t="shared" si="2"/>
        <v>1</v>
      </c>
      <c r="D106" s="1" t="str">
        <f t="shared" si="3"/>
        <v>MS10</v>
      </c>
    </row>
    <row r="107" spans="1:4" x14ac:dyDescent="0.25">
      <c r="A107" s="1">
        <f>IF(CALCULO!Q107="","",CALCULO!Q107)</f>
        <v>5519246.6121769175</v>
      </c>
      <c r="B107" s="1">
        <f>IF(CALCULO!R107="","",CALCULO!R107)</f>
        <v>6578226.4437618973</v>
      </c>
      <c r="C107" s="1">
        <f t="shared" si="2"/>
        <v>1</v>
      </c>
      <c r="D107" s="1" t="str">
        <f t="shared" si="3"/>
        <v>MS10</v>
      </c>
    </row>
    <row r="108" spans="1:4" x14ac:dyDescent="0.25">
      <c r="A108" s="1">
        <f>IF(CALCULO!Q108="","",CALCULO!Q108)</f>
        <v>5519253.2061224962</v>
      </c>
      <c r="B108" s="1">
        <f>IF(CALCULO!R108="","",CALCULO!R108)</f>
        <v>6578233.9011428496</v>
      </c>
      <c r="C108" s="1">
        <f t="shared" si="2"/>
        <v>1</v>
      </c>
      <c r="D108" s="1" t="str">
        <f t="shared" si="3"/>
        <v>MS10</v>
      </c>
    </row>
    <row r="109" spans="1:4" x14ac:dyDescent="0.25">
      <c r="A109" s="1">
        <f>IF(CALCULO!Q109="","",CALCULO!Q109)</f>
        <v>5519259.8000680748</v>
      </c>
      <c r="B109" s="1">
        <f>IF(CALCULO!R109="","",CALCULO!R109)</f>
        <v>6578241.3585238019</v>
      </c>
      <c r="C109" s="1">
        <f t="shared" si="2"/>
        <v>1</v>
      </c>
      <c r="D109" s="1" t="str">
        <f t="shared" si="3"/>
        <v>MS10</v>
      </c>
    </row>
    <row r="110" spans="1:4" x14ac:dyDescent="0.25">
      <c r="A110" s="1">
        <f>IF(CALCULO!Q110="","",CALCULO!Q110)</f>
        <v>5519266.3940136535</v>
      </c>
      <c r="B110" s="1">
        <f>IF(CALCULO!R110="","",CALCULO!R110)</f>
        <v>6578248.8159047542</v>
      </c>
      <c r="C110" s="1">
        <f t="shared" si="2"/>
        <v>1</v>
      </c>
      <c r="D110" s="1" t="str">
        <f t="shared" si="3"/>
        <v>MS10</v>
      </c>
    </row>
    <row r="111" spans="1:4" x14ac:dyDescent="0.25">
      <c r="A111" s="1">
        <f>IF(CALCULO!Q111="","",CALCULO!Q111)</f>
        <v>5519272.9879592322</v>
      </c>
      <c r="B111" s="1">
        <f>IF(CALCULO!R111="","",CALCULO!R111)</f>
        <v>6578256.2732857065</v>
      </c>
      <c r="C111" s="1">
        <f t="shared" si="2"/>
        <v>1</v>
      </c>
      <c r="D111" s="1" t="str">
        <f t="shared" si="3"/>
        <v>MS10</v>
      </c>
    </row>
    <row r="112" spans="1:4" x14ac:dyDescent="0.25">
      <c r="A112" s="1">
        <f>IF(CALCULO!Q112="","",CALCULO!Q112)</f>
        <v>5519279.5819048109</v>
      </c>
      <c r="B112" s="1">
        <f>IF(CALCULO!R112="","",CALCULO!R112)</f>
        <v>6578263.7306666588</v>
      </c>
      <c r="C112" s="1">
        <f t="shared" si="2"/>
        <v>1</v>
      </c>
      <c r="D112" s="1" t="str">
        <f t="shared" si="3"/>
        <v>MS10</v>
      </c>
    </row>
    <row r="113" spans="1:4" x14ac:dyDescent="0.25">
      <c r="A113" s="1">
        <f>IF(CALCULO!Q113="","",CALCULO!Q113)</f>
        <v>5519286.1758503895</v>
      </c>
      <c r="B113" s="1">
        <f>IF(CALCULO!R113="","",CALCULO!R113)</f>
        <v>6578271.1880476112</v>
      </c>
      <c r="C113" s="1">
        <f t="shared" si="2"/>
        <v>1</v>
      </c>
      <c r="D113" s="1" t="str">
        <f t="shared" si="3"/>
        <v>MS10</v>
      </c>
    </row>
    <row r="114" spans="1:4" x14ac:dyDescent="0.25">
      <c r="A114" s="1">
        <f>IF(CALCULO!Q114="","",CALCULO!Q114)</f>
        <v>5519292.7697959682</v>
      </c>
      <c r="B114" s="1">
        <f>IF(CALCULO!R114="","",CALCULO!R114)</f>
        <v>6578278.6454285635</v>
      </c>
      <c r="C114" s="1">
        <f t="shared" si="2"/>
        <v>1</v>
      </c>
      <c r="D114" s="1" t="str">
        <f t="shared" si="3"/>
        <v>MS10</v>
      </c>
    </row>
    <row r="115" spans="1:4" x14ac:dyDescent="0.25">
      <c r="A115" s="1">
        <f>IF(CALCULO!Q115="","",CALCULO!Q115)</f>
        <v>5519299.3637415469</v>
      </c>
      <c r="B115" s="1">
        <f>IF(CALCULO!R115="","",CALCULO!R115)</f>
        <v>6578286.1028095158</v>
      </c>
      <c r="C115" s="1">
        <f t="shared" si="2"/>
        <v>1</v>
      </c>
      <c r="D115" s="1" t="str">
        <f t="shared" si="3"/>
        <v>MS10</v>
      </c>
    </row>
    <row r="116" spans="1:4" x14ac:dyDescent="0.25">
      <c r="A116" s="1">
        <f>IF(CALCULO!Q116="","",CALCULO!Q116)</f>
        <v>5519305.9576871255</v>
      </c>
      <c r="B116" s="1">
        <f>IF(CALCULO!R116="","",CALCULO!R116)</f>
        <v>6578293.5601904681</v>
      </c>
      <c r="C116" s="1">
        <f t="shared" si="2"/>
        <v>1</v>
      </c>
      <c r="D116" s="1" t="str">
        <f t="shared" si="3"/>
        <v>MS10</v>
      </c>
    </row>
    <row r="117" spans="1:4" x14ac:dyDescent="0.25">
      <c r="A117" s="1">
        <f>IF(CALCULO!Q117="","",CALCULO!Q117)</f>
        <v>5519312.5516327042</v>
      </c>
      <c r="B117" s="1">
        <f>IF(CALCULO!R117="","",CALCULO!R117)</f>
        <v>6578301.0175714204</v>
      </c>
      <c r="C117" s="1">
        <f t="shared" si="2"/>
        <v>1</v>
      </c>
      <c r="D117" s="1" t="str">
        <f t="shared" si="3"/>
        <v>MS10</v>
      </c>
    </row>
    <row r="118" spans="1:4" x14ac:dyDescent="0.25">
      <c r="A118" s="1">
        <f>IF(CALCULO!Q118="","",CALCULO!Q118)</f>
        <v>5519319.1455782829</v>
      </c>
      <c r="B118" s="1">
        <f>IF(CALCULO!R118="","",CALCULO!R118)</f>
        <v>6578308.4749523727</v>
      </c>
      <c r="C118" s="1">
        <f t="shared" si="2"/>
        <v>1</v>
      </c>
      <c r="D118" s="1" t="str">
        <f t="shared" si="3"/>
        <v>MS10</v>
      </c>
    </row>
    <row r="119" spans="1:4" x14ac:dyDescent="0.25">
      <c r="A119" s="1">
        <f>IF(CALCULO!Q119="","",CALCULO!Q119)</f>
        <v>5519325.7395238616</v>
      </c>
      <c r="B119" s="1">
        <f>IF(CALCULO!R119="","",CALCULO!R119)</f>
        <v>6578315.932333325</v>
      </c>
      <c r="C119" s="1">
        <f t="shared" si="2"/>
        <v>1</v>
      </c>
      <c r="D119" s="1" t="str">
        <f t="shared" si="3"/>
        <v>MS10</v>
      </c>
    </row>
    <row r="120" spans="1:4" x14ac:dyDescent="0.25">
      <c r="A120" s="1">
        <f>IF(CALCULO!Q120="","",CALCULO!Q120)</f>
        <v>5519332.3334694402</v>
      </c>
      <c r="B120" s="1">
        <f>IF(CALCULO!R120="","",CALCULO!R120)</f>
        <v>6578323.3897142773</v>
      </c>
      <c r="C120" s="1">
        <f t="shared" si="2"/>
        <v>1</v>
      </c>
      <c r="D120" s="1" t="str">
        <f t="shared" si="3"/>
        <v>MS10</v>
      </c>
    </row>
    <row r="121" spans="1:4" x14ac:dyDescent="0.25">
      <c r="A121" s="1">
        <f>IF(CALCULO!Q121="","",CALCULO!Q121)</f>
        <v>5519338.9274150189</v>
      </c>
      <c r="B121" s="1">
        <f>IF(CALCULO!R121="","",CALCULO!R121)</f>
        <v>6578330.8470952297</v>
      </c>
      <c r="C121" s="1">
        <f t="shared" si="2"/>
        <v>1</v>
      </c>
      <c r="D121" s="1" t="str">
        <f t="shared" si="3"/>
        <v>MS10</v>
      </c>
    </row>
    <row r="122" spans="1:4" x14ac:dyDescent="0.25">
      <c r="A122" s="1">
        <f>IF(CALCULO!Q122="","",CALCULO!Q122)</f>
        <v>5519345.5213605976</v>
      </c>
      <c r="B122" s="1">
        <f>IF(CALCULO!R122="","",CALCULO!R122)</f>
        <v>6578338.304476182</v>
      </c>
      <c r="C122" s="1">
        <f t="shared" si="2"/>
        <v>1</v>
      </c>
      <c r="D122" s="1" t="str">
        <f t="shared" si="3"/>
        <v>MS10</v>
      </c>
    </row>
    <row r="123" spans="1:4" x14ac:dyDescent="0.25">
      <c r="A123" s="1">
        <f>IF(CALCULO!Q123="","",CALCULO!Q123)</f>
        <v>5519352.1153061762</v>
      </c>
      <c r="B123" s="1">
        <f>IF(CALCULO!R123="","",CALCULO!R123)</f>
        <v>6578345.7618571343</v>
      </c>
      <c r="C123" s="1">
        <f t="shared" si="2"/>
        <v>1</v>
      </c>
      <c r="D123" s="1" t="str">
        <f t="shared" si="3"/>
        <v>MS10</v>
      </c>
    </row>
    <row r="124" spans="1:4" x14ac:dyDescent="0.25">
      <c r="A124" s="1">
        <f>IF(CALCULO!Q124="","",CALCULO!Q124)</f>
        <v>5519358.7092517549</v>
      </c>
      <c r="B124" s="1">
        <f>IF(CALCULO!R124="","",CALCULO!R124)</f>
        <v>6578353.2192380866</v>
      </c>
      <c r="C124" s="1">
        <f t="shared" si="2"/>
        <v>1</v>
      </c>
      <c r="D124" s="1" t="str">
        <f t="shared" si="3"/>
        <v>MS10</v>
      </c>
    </row>
    <row r="125" spans="1:4" x14ac:dyDescent="0.25">
      <c r="A125" s="1">
        <f>IF(CALCULO!Q125="","",CALCULO!Q125)</f>
        <v>5519365.3031973336</v>
      </c>
      <c r="B125" s="1">
        <f>IF(CALCULO!R125="","",CALCULO!R125)</f>
        <v>6578360.6766190389</v>
      </c>
      <c r="C125" s="1">
        <f t="shared" si="2"/>
        <v>1</v>
      </c>
      <c r="D125" s="1" t="str">
        <f t="shared" si="3"/>
        <v>MS10</v>
      </c>
    </row>
    <row r="126" spans="1:4" x14ac:dyDescent="0.25">
      <c r="A126" s="1">
        <f>IF(CALCULO!Q126="","",CALCULO!Q126)</f>
        <v>5519371.8971429123</v>
      </c>
      <c r="B126" s="1">
        <f>IF(CALCULO!R126="","",CALCULO!R126)</f>
        <v>6578368.1339999912</v>
      </c>
      <c r="C126" s="1">
        <f t="shared" si="2"/>
        <v>1</v>
      </c>
      <c r="D126" s="1" t="str">
        <f t="shared" si="3"/>
        <v>MS10</v>
      </c>
    </row>
    <row r="127" spans="1:4" x14ac:dyDescent="0.25">
      <c r="A127" s="1">
        <f>IF(CALCULO!Q127="","",CALCULO!Q127)</f>
        <v>5519378.4910884909</v>
      </c>
      <c r="B127" s="1">
        <f>IF(CALCULO!R127="","",CALCULO!R127)</f>
        <v>6578375.5913809435</v>
      </c>
      <c r="C127" s="1">
        <f t="shared" si="2"/>
        <v>1</v>
      </c>
      <c r="D127" s="1" t="str">
        <f t="shared" si="3"/>
        <v>MS10</v>
      </c>
    </row>
    <row r="128" spans="1:4" x14ac:dyDescent="0.25">
      <c r="A128" s="1">
        <f>IF(CALCULO!Q128="","",CALCULO!Q128)</f>
        <v>5519385.0850340696</v>
      </c>
      <c r="B128" s="1">
        <f>IF(CALCULO!R128="","",CALCULO!R128)</f>
        <v>6578383.0487618959</v>
      </c>
      <c r="C128" s="1">
        <f t="shared" si="2"/>
        <v>1</v>
      </c>
      <c r="D128" s="1" t="str">
        <f t="shared" si="3"/>
        <v>MS10</v>
      </c>
    </row>
    <row r="129" spans="1:4" x14ac:dyDescent="0.25">
      <c r="A129" s="1">
        <f>IF(CALCULO!Q129="","",CALCULO!Q129)</f>
        <v>5519391.6789796483</v>
      </c>
      <c r="B129" s="1">
        <f>IF(CALCULO!R129="","",CALCULO!R129)</f>
        <v>6578390.5061428482</v>
      </c>
      <c r="C129" s="1">
        <f t="shared" ref="C129:C192" si="4">IF(OR(A129="",B129=""),"",1)</f>
        <v>1</v>
      </c>
      <c r="D129" s="1" t="str">
        <f t="shared" si="3"/>
        <v>MS10</v>
      </c>
    </row>
    <row r="130" spans="1:4" x14ac:dyDescent="0.25">
      <c r="A130" s="1">
        <f>IF(CALCULO!Q130="","",CALCULO!Q130)</f>
        <v>5519398.2729252269</v>
      </c>
      <c r="B130" s="1">
        <f>IF(CALCULO!R130="","",CALCULO!R130)</f>
        <v>6578397.9635238005</v>
      </c>
      <c r="C130" s="1">
        <f t="shared" si="4"/>
        <v>1</v>
      </c>
      <c r="D130" s="1" t="str">
        <f t="shared" ref="D130:D193" si="5">IF(A130&lt;&gt;"","MS10","")</f>
        <v>MS10</v>
      </c>
    </row>
    <row r="131" spans="1:4" x14ac:dyDescent="0.25">
      <c r="A131" s="1">
        <f>IF(CALCULO!Q131="","",CALCULO!Q131)</f>
        <v>5519404.8668708056</v>
      </c>
      <c r="B131" s="1">
        <f>IF(CALCULO!R131="","",CALCULO!R131)</f>
        <v>6578405.4209047528</v>
      </c>
      <c r="C131" s="1">
        <f t="shared" si="4"/>
        <v>1</v>
      </c>
      <c r="D131" s="1" t="str">
        <f t="shared" si="5"/>
        <v>MS10</v>
      </c>
    </row>
    <row r="132" spans="1:4" x14ac:dyDescent="0.25">
      <c r="A132" s="1">
        <f>IF(CALCULO!Q132="","",CALCULO!Q132)</f>
        <v>5519411.4608163843</v>
      </c>
      <c r="B132" s="1">
        <f>IF(CALCULO!R132="","",CALCULO!R132)</f>
        <v>6578412.8782857051</v>
      </c>
      <c r="C132" s="1">
        <f t="shared" si="4"/>
        <v>1</v>
      </c>
      <c r="D132" s="1" t="str">
        <f t="shared" si="5"/>
        <v>MS10</v>
      </c>
    </row>
    <row r="133" spans="1:4" x14ac:dyDescent="0.25">
      <c r="A133" s="1">
        <f>IF(CALCULO!Q133="","",CALCULO!Q133)</f>
        <v>5519418.054761963</v>
      </c>
      <c r="B133" s="1">
        <f>IF(CALCULO!R133="","",CALCULO!R133)</f>
        <v>6578420.3356666574</v>
      </c>
      <c r="C133" s="1">
        <f t="shared" si="4"/>
        <v>1</v>
      </c>
      <c r="D133" s="1" t="str">
        <f t="shared" si="5"/>
        <v>MS10</v>
      </c>
    </row>
    <row r="134" spans="1:4" x14ac:dyDescent="0.25">
      <c r="A134" s="1">
        <f>IF(CALCULO!Q134="","",CALCULO!Q134)</f>
        <v>5519424.6487075416</v>
      </c>
      <c r="B134" s="1">
        <f>IF(CALCULO!R134="","",CALCULO!R134)</f>
        <v>6578427.7930476097</v>
      </c>
      <c r="C134" s="1">
        <f t="shared" si="4"/>
        <v>1</v>
      </c>
      <c r="D134" s="1" t="str">
        <f t="shared" si="5"/>
        <v>MS10</v>
      </c>
    </row>
    <row r="135" spans="1:4" x14ac:dyDescent="0.25">
      <c r="A135" s="1">
        <f>IF(CALCULO!Q135="","",CALCULO!Q135)</f>
        <v>5519431.2426531203</v>
      </c>
      <c r="B135" s="1">
        <f>IF(CALCULO!R135="","",CALCULO!R135)</f>
        <v>6578435.2504285621</v>
      </c>
      <c r="C135" s="1">
        <f t="shared" si="4"/>
        <v>1</v>
      </c>
      <c r="D135" s="1" t="str">
        <f t="shared" si="5"/>
        <v>MS10</v>
      </c>
    </row>
    <row r="136" spans="1:4" x14ac:dyDescent="0.25">
      <c r="A136" s="1">
        <f>IF(CALCULO!Q136="","",CALCULO!Q136)</f>
        <v>5519437.836598699</v>
      </c>
      <c r="B136" s="1">
        <f>IF(CALCULO!R136="","",CALCULO!R136)</f>
        <v>6578442.7078095144</v>
      </c>
      <c r="C136" s="1">
        <f t="shared" si="4"/>
        <v>1</v>
      </c>
      <c r="D136" s="1" t="str">
        <f t="shared" si="5"/>
        <v>MS10</v>
      </c>
    </row>
    <row r="137" spans="1:4" x14ac:dyDescent="0.25">
      <c r="A137" s="1">
        <f>IF(CALCULO!Q137="","",CALCULO!Q137)</f>
        <v>5519444.4305442777</v>
      </c>
      <c r="B137" s="1">
        <f>IF(CALCULO!R137="","",CALCULO!R137)</f>
        <v>6578450.1651904667</v>
      </c>
      <c r="C137" s="1">
        <f t="shared" si="4"/>
        <v>1</v>
      </c>
      <c r="D137" s="1" t="str">
        <f t="shared" si="5"/>
        <v>MS10</v>
      </c>
    </row>
    <row r="138" spans="1:4" x14ac:dyDescent="0.25">
      <c r="A138" s="1">
        <f>IF(CALCULO!Q138="","",CALCULO!Q138)</f>
        <v>5519451.0244898563</v>
      </c>
      <c r="B138" s="1">
        <f>IF(CALCULO!R138="","",CALCULO!R138)</f>
        <v>6578457.622571419</v>
      </c>
      <c r="C138" s="1">
        <f t="shared" si="4"/>
        <v>1</v>
      </c>
      <c r="D138" s="1" t="str">
        <f t="shared" si="5"/>
        <v>MS10</v>
      </c>
    </row>
    <row r="139" spans="1:4" x14ac:dyDescent="0.25">
      <c r="A139" s="1">
        <f>IF(CALCULO!Q139="","",CALCULO!Q139)</f>
        <v>5519457.618435435</v>
      </c>
      <c r="B139" s="1">
        <f>IF(CALCULO!R139="","",CALCULO!R139)</f>
        <v>6578465.0799523713</v>
      </c>
      <c r="C139" s="1">
        <f t="shared" si="4"/>
        <v>1</v>
      </c>
      <c r="D139" s="1" t="str">
        <f t="shared" si="5"/>
        <v>MS10</v>
      </c>
    </row>
    <row r="140" spans="1:4" x14ac:dyDescent="0.25">
      <c r="A140" s="1">
        <f>IF(CALCULO!Q140="","",CALCULO!Q140)</f>
        <v>5519464.2123810137</v>
      </c>
      <c r="B140" s="1">
        <f>IF(CALCULO!R140="","",CALCULO!R140)</f>
        <v>6578472.5373333236</v>
      </c>
      <c r="C140" s="1">
        <f t="shared" si="4"/>
        <v>1</v>
      </c>
      <c r="D140" s="1" t="str">
        <f t="shared" si="5"/>
        <v>MS10</v>
      </c>
    </row>
    <row r="141" spans="1:4" x14ac:dyDescent="0.25">
      <c r="A141" s="1">
        <f>IF(CALCULO!Q141="","",CALCULO!Q141)</f>
        <v>5519470.8063265923</v>
      </c>
      <c r="B141" s="1">
        <f>IF(CALCULO!R141="","",CALCULO!R141)</f>
        <v>6578479.9947142759</v>
      </c>
      <c r="C141" s="1">
        <f t="shared" si="4"/>
        <v>1</v>
      </c>
      <c r="D141" s="1" t="str">
        <f t="shared" si="5"/>
        <v>MS10</v>
      </c>
    </row>
    <row r="142" spans="1:4" x14ac:dyDescent="0.25">
      <c r="A142" s="1">
        <f>IF(CALCULO!Q142="","",CALCULO!Q142)</f>
        <v>5519477.400272171</v>
      </c>
      <c r="B142" s="1">
        <f>IF(CALCULO!R142="","",CALCULO!R142)</f>
        <v>6578487.4520952282</v>
      </c>
      <c r="C142" s="1">
        <f t="shared" si="4"/>
        <v>1</v>
      </c>
      <c r="D142" s="1" t="str">
        <f t="shared" si="5"/>
        <v>MS10</v>
      </c>
    </row>
    <row r="143" spans="1:4" x14ac:dyDescent="0.25">
      <c r="A143" s="1">
        <f>IF(CALCULO!Q143="","",CALCULO!Q143)</f>
        <v>5519483.9942177497</v>
      </c>
      <c r="B143" s="1">
        <f>IF(CALCULO!R143="","",CALCULO!R143)</f>
        <v>6578494.9094761806</v>
      </c>
      <c r="C143" s="1">
        <f t="shared" si="4"/>
        <v>1</v>
      </c>
      <c r="D143" s="1" t="str">
        <f t="shared" si="5"/>
        <v>MS10</v>
      </c>
    </row>
    <row r="144" spans="1:4" x14ac:dyDescent="0.25">
      <c r="A144" s="1">
        <f>IF(CALCULO!Q144="","",CALCULO!Q144)</f>
        <v>5519490.5881633284</v>
      </c>
      <c r="B144" s="1">
        <f>IF(CALCULO!R144="","",CALCULO!R144)</f>
        <v>6578502.3668571329</v>
      </c>
      <c r="C144" s="1">
        <f t="shared" si="4"/>
        <v>1</v>
      </c>
      <c r="D144" s="1" t="str">
        <f t="shared" si="5"/>
        <v>MS10</v>
      </c>
    </row>
    <row r="145" spans="1:4" x14ac:dyDescent="0.25">
      <c r="A145" s="1">
        <f>IF(CALCULO!Q145="","",CALCULO!Q145)</f>
        <v>5519497.182108907</v>
      </c>
      <c r="B145" s="1">
        <f>IF(CALCULO!R145="","",CALCULO!R145)</f>
        <v>6578509.8242380852</v>
      </c>
      <c r="C145" s="1">
        <f t="shared" si="4"/>
        <v>1</v>
      </c>
      <c r="D145" s="1" t="str">
        <f t="shared" si="5"/>
        <v>MS10</v>
      </c>
    </row>
    <row r="146" spans="1:4" x14ac:dyDescent="0.25">
      <c r="A146" s="1">
        <f>IF(CALCULO!Q146="","",CALCULO!Q146)</f>
        <v>5519503.7760544857</v>
      </c>
      <c r="B146" s="1">
        <f>IF(CALCULO!R146="","",CALCULO!R146)</f>
        <v>6578517.2816190375</v>
      </c>
      <c r="C146" s="1">
        <f t="shared" si="4"/>
        <v>1</v>
      </c>
      <c r="D146" s="1" t="str">
        <f t="shared" si="5"/>
        <v>MS10</v>
      </c>
    </row>
    <row r="147" spans="1:4" x14ac:dyDescent="0.25">
      <c r="A147" s="1" t="str">
        <f>IF(CALCULO!Q147="","",CALCULO!Q147)</f>
        <v/>
      </c>
      <c r="B147" s="1" t="str">
        <f>IF(CALCULO!R147="","",CALCULO!R147)</f>
        <v/>
      </c>
      <c r="C147" s="1" t="str">
        <f t="shared" si="4"/>
        <v/>
      </c>
      <c r="D147" s="1" t="str">
        <f t="shared" si="5"/>
        <v/>
      </c>
    </row>
    <row r="148" spans="1:4" x14ac:dyDescent="0.25">
      <c r="A148" s="1" t="str">
        <f>IF(CALCULO!Q148="","",CALCULO!Q148)</f>
        <v/>
      </c>
      <c r="B148" s="1" t="str">
        <f>IF(CALCULO!R148="","",CALCULO!R148)</f>
        <v/>
      </c>
      <c r="C148" s="1" t="str">
        <f t="shared" si="4"/>
        <v/>
      </c>
      <c r="D148" s="1" t="str">
        <f t="shared" si="5"/>
        <v/>
      </c>
    </row>
    <row r="149" spans="1:4" x14ac:dyDescent="0.25">
      <c r="A149" s="1" t="str">
        <f>IF(CALCULO!Q149="","",CALCULO!Q149)</f>
        <v/>
      </c>
      <c r="B149" s="1" t="str">
        <f>IF(CALCULO!R149="","",CALCULO!R149)</f>
        <v/>
      </c>
      <c r="C149" s="1" t="str">
        <f t="shared" si="4"/>
        <v/>
      </c>
      <c r="D149" s="1" t="str">
        <f t="shared" si="5"/>
        <v/>
      </c>
    </row>
    <row r="150" spans="1:4" x14ac:dyDescent="0.25">
      <c r="A150" s="1" t="str">
        <f>IF(CALCULO!Q150="","",CALCULO!Q150)</f>
        <v/>
      </c>
      <c r="B150" s="1" t="str">
        <f>IF(CALCULO!R150="","",CALCULO!R150)</f>
        <v/>
      </c>
      <c r="C150" s="1" t="str">
        <f t="shared" si="4"/>
        <v/>
      </c>
      <c r="D150" s="1" t="str">
        <f t="shared" si="5"/>
        <v/>
      </c>
    </row>
    <row r="151" spans="1:4" x14ac:dyDescent="0.25">
      <c r="A151" s="1" t="str">
        <f>IF(CALCULO!Q151="","",CALCULO!Q151)</f>
        <v/>
      </c>
      <c r="B151" s="1" t="str">
        <f>IF(CALCULO!R151="","",CALCULO!R151)</f>
        <v/>
      </c>
      <c r="C151" s="1" t="str">
        <f t="shared" si="4"/>
        <v/>
      </c>
      <c r="D151" s="1" t="str">
        <f t="shared" si="5"/>
        <v/>
      </c>
    </row>
    <row r="152" spans="1:4" x14ac:dyDescent="0.25">
      <c r="A152" s="1" t="str">
        <f>IF(CALCULO!Q152="","",CALCULO!Q152)</f>
        <v/>
      </c>
      <c r="B152" s="1" t="str">
        <f>IF(CALCULO!R152="","",CALCULO!R152)</f>
        <v/>
      </c>
      <c r="C152" s="1" t="str">
        <f t="shared" si="4"/>
        <v/>
      </c>
      <c r="D152" s="1" t="str">
        <f t="shared" si="5"/>
        <v/>
      </c>
    </row>
    <row r="153" spans="1:4" x14ac:dyDescent="0.25">
      <c r="A153" s="1" t="str">
        <f>IF(CALCULO!Q153="","",CALCULO!Q153)</f>
        <v/>
      </c>
      <c r="B153" s="1" t="str">
        <f>IF(CALCULO!R153="","",CALCULO!R153)</f>
        <v/>
      </c>
      <c r="C153" s="1" t="str">
        <f t="shared" si="4"/>
        <v/>
      </c>
      <c r="D153" s="1" t="str">
        <f t="shared" si="5"/>
        <v/>
      </c>
    </row>
    <row r="154" spans="1:4" x14ac:dyDescent="0.25">
      <c r="A154" s="1" t="str">
        <f>IF(CALCULO!Q154="","",CALCULO!Q154)</f>
        <v/>
      </c>
      <c r="B154" s="1" t="str">
        <f>IF(CALCULO!R154="","",CALCULO!R154)</f>
        <v/>
      </c>
      <c r="C154" s="1" t="str">
        <f t="shared" si="4"/>
        <v/>
      </c>
      <c r="D154" s="1" t="str">
        <f t="shared" si="5"/>
        <v/>
      </c>
    </row>
    <row r="155" spans="1:4" x14ac:dyDescent="0.25">
      <c r="A155" s="1" t="str">
        <f>IF(CALCULO!Q155="","",CALCULO!Q155)</f>
        <v/>
      </c>
      <c r="B155" s="1" t="str">
        <f>IF(CALCULO!R155="","",CALCULO!R155)</f>
        <v/>
      </c>
      <c r="C155" s="1" t="str">
        <f t="shared" si="4"/>
        <v/>
      </c>
      <c r="D155" s="1" t="str">
        <f t="shared" si="5"/>
        <v/>
      </c>
    </row>
    <row r="156" spans="1:4" x14ac:dyDescent="0.25">
      <c r="A156" s="1" t="str">
        <f>IF(CALCULO!Q156="","",CALCULO!Q156)</f>
        <v/>
      </c>
      <c r="B156" s="1" t="str">
        <f>IF(CALCULO!R156="","",CALCULO!R156)</f>
        <v/>
      </c>
      <c r="C156" s="1" t="str">
        <f t="shared" si="4"/>
        <v/>
      </c>
      <c r="D156" s="1" t="str">
        <f t="shared" si="5"/>
        <v/>
      </c>
    </row>
    <row r="157" spans="1:4" x14ac:dyDescent="0.25">
      <c r="A157" s="1" t="str">
        <f>IF(CALCULO!Q157="","",CALCULO!Q157)</f>
        <v/>
      </c>
      <c r="B157" s="1" t="str">
        <f>IF(CALCULO!R157="","",CALCULO!R157)</f>
        <v/>
      </c>
      <c r="C157" s="1" t="str">
        <f t="shared" si="4"/>
        <v/>
      </c>
      <c r="D157" s="1" t="str">
        <f t="shared" si="5"/>
        <v/>
      </c>
    </row>
    <row r="158" spans="1:4" x14ac:dyDescent="0.25">
      <c r="A158" s="1" t="str">
        <f>IF(CALCULO!Q158="","",CALCULO!Q158)</f>
        <v/>
      </c>
      <c r="B158" s="1" t="str">
        <f>IF(CALCULO!R158="","",CALCULO!R158)</f>
        <v/>
      </c>
      <c r="C158" s="1" t="str">
        <f t="shared" si="4"/>
        <v/>
      </c>
      <c r="D158" s="1" t="str">
        <f t="shared" si="5"/>
        <v/>
      </c>
    </row>
    <row r="159" spans="1:4" x14ac:dyDescent="0.25">
      <c r="A159" s="1" t="str">
        <f>IF(CALCULO!Q159="","",CALCULO!Q159)</f>
        <v/>
      </c>
      <c r="B159" s="1" t="str">
        <f>IF(CALCULO!R159="","",CALCULO!R159)</f>
        <v/>
      </c>
      <c r="C159" s="1" t="str">
        <f t="shared" si="4"/>
        <v/>
      </c>
      <c r="D159" s="1" t="str">
        <f t="shared" si="5"/>
        <v/>
      </c>
    </row>
    <row r="160" spans="1:4" x14ac:dyDescent="0.25">
      <c r="A160" s="1" t="str">
        <f>IF(CALCULO!Q160="","",CALCULO!Q160)</f>
        <v/>
      </c>
      <c r="B160" s="1" t="str">
        <f>IF(CALCULO!R160="","",CALCULO!R160)</f>
        <v/>
      </c>
      <c r="C160" s="1" t="str">
        <f t="shared" si="4"/>
        <v/>
      </c>
      <c r="D160" s="1" t="str">
        <f t="shared" si="5"/>
        <v/>
      </c>
    </row>
    <row r="161" spans="1:4" x14ac:dyDescent="0.25">
      <c r="A161" s="1" t="str">
        <f>IF(CALCULO!Q161="","",CALCULO!Q161)</f>
        <v/>
      </c>
      <c r="B161" s="1" t="str">
        <f>IF(CALCULO!R161="","",CALCULO!R161)</f>
        <v/>
      </c>
      <c r="C161" s="1" t="str">
        <f t="shared" si="4"/>
        <v/>
      </c>
      <c r="D161" s="1" t="str">
        <f t="shared" si="5"/>
        <v/>
      </c>
    </row>
    <row r="162" spans="1:4" x14ac:dyDescent="0.25">
      <c r="A162" s="1" t="str">
        <f>IF(CALCULO!Q162="","",CALCULO!Q162)</f>
        <v/>
      </c>
      <c r="B162" s="1" t="str">
        <f>IF(CALCULO!R162="","",CALCULO!R162)</f>
        <v/>
      </c>
      <c r="C162" s="1" t="str">
        <f t="shared" si="4"/>
        <v/>
      </c>
      <c r="D162" s="1" t="str">
        <f t="shared" si="5"/>
        <v/>
      </c>
    </row>
    <row r="163" spans="1:4" x14ac:dyDescent="0.25">
      <c r="A163" s="1" t="str">
        <f>IF(CALCULO!Q163="","",CALCULO!Q163)</f>
        <v/>
      </c>
      <c r="B163" s="1" t="str">
        <f>IF(CALCULO!R163="","",CALCULO!R163)</f>
        <v/>
      </c>
      <c r="C163" s="1" t="str">
        <f t="shared" si="4"/>
        <v/>
      </c>
      <c r="D163" s="1" t="str">
        <f t="shared" si="5"/>
        <v/>
      </c>
    </row>
    <row r="164" spans="1:4" x14ac:dyDescent="0.25">
      <c r="A164" s="1" t="str">
        <f>IF(CALCULO!Q164="","",CALCULO!Q164)</f>
        <v/>
      </c>
      <c r="B164" s="1" t="str">
        <f>IF(CALCULO!R164="","",CALCULO!R164)</f>
        <v/>
      </c>
      <c r="C164" s="1" t="str">
        <f t="shared" si="4"/>
        <v/>
      </c>
      <c r="D164" s="1" t="str">
        <f t="shared" si="5"/>
        <v/>
      </c>
    </row>
    <row r="165" spans="1:4" x14ac:dyDescent="0.25">
      <c r="A165" s="1" t="str">
        <f>IF(CALCULO!Q165="","",CALCULO!Q165)</f>
        <v/>
      </c>
      <c r="B165" s="1" t="str">
        <f>IF(CALCULO!R165="","",CALCULO!R165)</f>
        <v/>
      </c>
      <c r="C165" s="1" t="str">
        <f t="shared" si="4"/>
        <v/>
      </c>
      <c r="D165" s="1" t="str">
        <f t="shared" si="5"/>
        <v/>
      </c>
    </row>
    <row r="166" spans="1:4" x14ac:dyDescent="0.25">
      <c r="A166" s="1" t="str">
        <f>IF(CALCULO!Q166="","",CALCULO!Q166)</f>
        <v/>
      </c>
      <c r="B166" s="1" t="str">
        <f>IF(CALCULO!R166="","",CALCULO!R166)</f>
        <v/>
      </c>
      <c r="C166" s="1" t="str">
        <f t="shared" si="4"/>
        <v/>
      </c>
      <c r="D166" s="1" t="str">
        <f t="shared" si="5"/>
        <v/>
      </c>
    </row>
    <row r="167" spans="1:4" x14ac:dyDescent="0.25">
      <c r="A167" s="1" t="str">
        <f>IF(CALCULO!Q167="","",CALCULO!Q167)</f>
        <v/>
      </c>
      <c r="B167" s="1" t="str">
        <f>IF(CALCULO!R167="","",CALCULO!R167)</f>
        <v/>
      </c>
      <c r="C167" s="1" t="str">
        <f t="shared" si="4"/>
        <v/>
      </c>
      <c r="D167" s="1" t="str">
        <f t="shared" si="5"/>
        <v/>
      </c>
    </row>
    <row r="168" spans="1:4" x14ac:dyDescent="0.25">
      <c r="A168" s="1" t="str">
        <f>IF(CALCULO!Q168="","",CALCULO!Q168)</f>
        <v/>
      </c>
      <c r="B168" s="1" t="str">
        <f>IF(CALCULO!R168="","",CALCULO!R168)</f>
        <v/>
      </c>
      <c r="C168" s="1" t="str">
        <f t="shared" si="4"/>
        <v/>
      </c>
      <c r="D168" s="1" t="str">
        <f t="shared" si="5"/>
        <v/>
      </c>
    </row>
    <row r="169" spans="1:4" x14ac:dyDescent="0.25">
      <c r="A169" s="1" t="str">
        <f>IF(CALCULO!Q169="","",CALCULO!Q169)</f>
        <v/>
      </c>
      <c r="B169" s="1" t="str">
        <f>IF(CALCULO!R169="","",CALCULO!R169)</f>
        <v/>
      </c>
      <c r="C169" s="1" t="str">
        <f t="shared" si="4"/>
        <v/>
      </c>
      <c r="D169" s="1" t="str">
        <f t="shared" si="5"/>
        <v/>
      </c>
    </row>
    <row r="170" spans="1:4" x14ac:dyDescent="0.25">
      <c r="A170" s="1" t="str">
        <f>IF(CALCULO!Q170="","",CALCULO!Q170)</f>
        <v/>
      </c>
      <c r="B170" s="1" t="str">
        <f>IF(CALCULO!R170="","",CALCULO!R170)</f>
        <v/>
      </c>
      <c r="C170" s="1" t="str">
        <f t="shared" si="4"/>
        <v/>
      </c>
      <c r="D170" s="1" t="str">
        <f t="shared" si="5"/>
        <v/>
      </c>
    </row>
    <row r="171" spans="1:4" x14ac:dyDescent="0.25">
      <c r="A171" s="1" t="str">
        <f>IF(CALCULO!Q171="","",CALCULO!Q171)</f>
        <v/>
      </c>
      <c r="B171" s="1" t="str">
        <f>IF(CALCULO!R171="","",CALCULO!R171)</f>
        <v/>
      </c>
      <c r="C171" s="1" t="str">
        <f t="shared" si="4"/>
        <v/>
      </c>
      <c r="D171" s="1" t="str">
        <f t="shared" si="5"/>
        <v/>
      </c>
    </row>
    <row r="172" spans="1:4" x14ac:dyDescent="0.25">
      <c r="A172" s="1" t="str">
        <f>IF(CALCULO!Q172="","",CALCULO!Q172)</f>
        <v/>
      </c>
      <c r="B172" s="1" t="str">
        <f>IF(CALCULO!R172="","",CALCULO!R172)</f>
        <v/>
      </c>
      <c r="C172" s="1" t="str">
        <f t="shared" si="4"/>
        <v/>
      </c>
      <c r="D172" s="1" t="str">
        <f t="shared" si="5"/>
        <v/>
      </c>
    </row>
    <row r="173" spans="1:4" x14ac:dyDescent="0.25">
      <c r="A173" s="1" t="str">
        <f>IF(CALCULO!Q173="","",CALCULO!Q173)</f>
        <v/>
      </c>
      <c r="B173" s="1" t="str">
        <f>IF(CALCULO!R173="","",CALCULO!R173)</f>
        <v/>
      </c>
      <c r="C173" s="1" t="str">
        <f t="shared" si="4"/>
        <v/>
      </c>
      <c r="D173" s="1" t="str">
        <f t="shared" si="5"/>
        <v/>
      </c>
    </row>
    <row r="174" spans="1:4" x14ac:dyDescent="0.25">
      <c r="A174" s="1" t="str">
        <f>IF(CALCULO!Q174="","",CALCULO!Q174)</f>
        <v/>
      </c>
      <c r="B174" s="1" t="str">
        <f>IF(CALCULO!R174="","",CALCULO!R174)</f>
        <v/>
      </c>
      <c r="C174" s="1" t="str">
        <f t="shared" si="4"/>
        <v/>
      </c>
      <c r="D174" s="1" t="str">
        <f t="shared" si="5"/>
        <v/>
      </c>
    </row>
    <row r="175" spans="1:4" x14ac:dyDescent="0.25">
      <c r="A175" s="1" t="str">
        <f>IF(CALCULO!Q175="","",CALCULO!Q175)</f>
        <v/>
      </c>
      <c r="B175" s="1" t="str">
        <f>IF(CALCULO!R175="","",CALCULO!R175)</f>
        <v/>
      </c>
      <c r="C175" s="1" t="str">
        <f t="shared" si="4"/>
        <v/>
      </c>
      <c r="D175" s="1" t="str">
        <f t="shared" si="5"/>
        <v/>
      </c>
    </row>
    <row r="176" spans="1:4" x14ac:dyDescent="0.25">
      <c r="A176" s="1" t="str">
        <f>IF(CALCULO!Q176="","",CALCULO!Q176)</f>
        <v/>
      </c>
      <c r="B176" s="1" t="str">
        <f>IF(CALCULO!R176="","",CALCULO!R176)</f>
        <v/>
      </c>
      <c r="C176" s="1" t="str">
        <f t="shared" si="4"/>
        <v/>
      </c>
      <c r="D176" s="1" t="str">
        <f t="shared" si="5"/>
        <v/>
      </c>
    </row>
    <row r="177" spans="1:4" x14ac:dyDescent="0.25">
      <c r="A177" s="1" t="str">
        <f>IF(CALCULO!Q177="","",CALCULO!Q177)</f>
        <v/>
      </c>
      <c r="B177" s="1" t="str">
        <f>IF(CALCULO!R177="","",CALCULO!R177)</f>
        <v/>
      </c>
      <c r="C177" s="1" t="str">
        <f t="shared" si="4"/>
        <v/>
      </c>
      <c r="D177" s="1" t="str">
        <f t="shared" si="5"/>
        <v/>
      </c>
    </row>
    <row r="178" spans="1:4" x14ac:dyDescent="0.25">
      <c r="A178" s="1" t="str">
        <f>IF(CALCULO!Q178="","",CALCULO!Q178)</f>
        <v/>
      </c>
      <c r="B178" s="1" t="str">
        <f>IF(CALCULO!R178="","",CALCULO!R178)</f>
        <v/>
      </c>
      <c r="C178" s="1" t="str">
        <f t="shared" si="4"/>
        <v/>
      </c>
      <c r="D178" s="1" t="str">
        <f t="shared" si="5"/>
        <v/>
      </c>
    </row>
    <row r="179" spans="1:4" x14ac:dyDescent="0.25">
      <c r="A179" s="1" t="str">
        <f>IF(CALCULO!Q179="","",CALCULO!Q179)</f>
        <v/>
      </c>
      <c r="B179" s="1" t="str">
        <f>IF(CALCULO!R179="","",CALCULO!R179)</f>
        <v/>
      </c>
      <c r="C179" s="1" t="str">
        <f t="shared" si="4"/>
        <v/>
      </c>
      <c r="D179" s="1" t="str">
        <f t="shared" si="5"/>
        <v/>
      </c>
    </row>
    <row r="180" spans="1:4" x14ac:dyDescent="0.25">
      <c r="A180" s="1" t="str">
        <f>IF(CALCULO!Q180="","",CALCULO!Q180)</f>
        <v/>
      </c>
      <c r="B180" s="1" t="str">
        <f>IF(CALCULO!R180="","",CALCULO!R180)</f>
        <v/>
      </c>
      <c r="C180" s="1" t="str">
        <f t="shared" si="4"/>
        <v/>
      </c>
      <c r="D180" s="1" t="str">
        <f t="shared" si="5"/>
        <v/>
      </c>
    </row>
    <row r="181" spans="1:4" x14ac:dyDescent="0.25">
      <c r="A181" s="1" t="str">
        <f>IF(CALCULO!Q181="","",CALCULO!Q181)</f>
        <v/>
      </c>
      <c r="B181" s="1" t="str">
        <f>IF(CALCULO!R181="","",CALCULO!R181)</f>
        <v/>
      </c>
      <c r="C181" s="1" t="str">
        <f t="shared" si="4"/>
        <v/>
      </c>
      <c r="D181" s="1" t="str">
        <f t="shared" si="5"/>
        <v/>
      </c>
    </row>
    <row r="182" spans="1:4" x14ac:dyDescent="0.25">
      <c r="A182" s="1" t="str">
        <f>IF(CALCULO!Q182="","",CALCULO!Q182)</f>
        <v/>
      </c>
      <c r="B182" s="1" t="str">
        <f>IF(CALCULO!R182="","",CALCULO!R182)</f>
        <v/>
      </c>
      <c r="C182" s="1" t="str">
        <f t="shared" si="4"/>
        <v/>
      </c>
      <c r="D182" s="1" t="str">
        <f t="shared" si="5"/>
        <v/>
      </c>
    </row>
    <row r="183" spans="1:4" x14ac:dyDescent="0.25">
      <c r="A183" s="1" t="str">
        <f>IF(CALCULO!Q183="","",CALCULO!Q183)</f>
        <v/>
      </c>
      <c r="B183" s="1" t="str">
        <f>IF(CALCULO!R183="","",CALCULO!R183)</f>
        <v/>
      </c>
      <c r="C183" s="1" t="str">
        <f t="shared" si="4"/>
        <v/>
      </c>
      <c r="D183" s="1" t="str">
        <f t="shared" si="5"/>
        <v/>
      </c>
    </row>
    <row r="184" spans="1:4" x14ac:dyDescent="0.25">
      <c r="A184" s="1" t="str">
        <f>IF(CALCULO!Q184="","",CALCULO!Q184)</f>
        <v/>
      </c>
      <c r="B184" s="1" t="str">
        <f>IF(CALCULO!R184="","",CALCULO!R184)</f>
        <v/>
      </c>
      <c r="C184" s="1" t="str">
        <f t="shared" si="4"/>
        <v/>
      </c>
      <c r="D184" s="1" t="str">
        <f t="shared" si="5"/>
        <v/>
      </c>
    </row>
    <row r="185" spans="1:4" x14ac:dyDescent="0.25">
      <c r="A185" s="1" t="str">
        <f>IF(CALCULO!Q185="","",CALCULO!Q185)</f>
        <v/>
      </c>
      <c r="B185" s="1" t="str">
        <f>IF(CALCULO!R185="","",CALCULO!R185)</f>
        <v/>
      </c>
      <c r="C185" s="1" t="str">
        <f t="shared" si="4"/>
        <v/>
      </c>
      <c r="D185" s="1" t="str">
        <f t="shared" si="5"/>
        <v/>
      </c>
    </row>
    <row r="186" spans="1:4" x14ac:dyDescent="0.25">
      <c r="A186" s="1" t="str">
        <f>IF(CALCULO!Q186="","",CALCULO!Q186)</f>
        <v/>
      </c>
      <c r="B186" s="1" t="str">
        <f>IF(CALCULO!R186="","",CALCULO!R186)</f>
        <v/>
      </c>
      <c r="C186" s="1" t="str">
        <f t="shared" si="4"/>
        <v/>
      </c>
      <c r="D186" s="1" t="str">
        <f t="shared" si="5"/>
        <v/>
      </c>
    </row>
    <row r="187" spans="1:4" x14ac:dyDescent="0.25">
      <c r="A187" s="1" t="str">
        <f>IF(CALCULO!Q187="","",CALCULO!Q187)</f>
        <v/>
      </c>
      <c r="B187" s="1" t="str">
        <f>IF(CALCULO!R187="","",CALCULO!R187)</f>
        <v/>
      </c>
      <c r="C187" s="1" t="str">
        <f t="shared" si="4"/>
        <v/>
      </c>
      <c r="D187" s="1" t="str">
        <f t="shared" si="5"/>
        <v/>
      </c>
    </row>
    <row r="188" spans="1:4" x14ac:dyDescent="0.25">
      <c r="A188" s="1" t="str">
        <f>IF(CALCULO!Q188="","",CALCULO!Q188)</f>
        <v/>
      </c>
      <c r="B188" s="1" t="str">
        <f>IF(CALCULO!R188="","",CALCULO!R188)</f>
        <v/>
      </c>
      <c r="C188" s="1" t="str">
        <f t="shared" si="4"/>
        <v/>
      </c>
      <c r="D188" s="1" t="str">
        <f t="shared" si="5"/>
        <v/>
      </c>
    </row>
    <row r="189" spans="1:4" x14ac:dyDescent="0.25">
      <c r="A189" s="1" t="str">
        <f>IF(CALCULO!Q189="","",CALCULO!Q189)</f>
        <v/>
      </c>
      <c r="B189" s="1" t="str">
        <f>IF(CALCULO!R189="","",CALCULO!R189)</f>
        <v/>
      </c>
      <c r="C189" s="1" t="str">
        <f t="shared" si="4"/>
        <v/>
      </c>
      <c r="D189" s="1" t="str">
        <f t="shared" si="5"/>
        <v/>
      </c>
    </row>
    <row r="190" spans="1:4" x14ac:dyDescent="0.25">
      <c r="A190" s="1" t="str">
        <f>IF(CALCULO!Q190="","",CALCULO!Q190)</f>
        <v/>
      </c>
      <c r="B190" s="1" t="str">
        <f>IF(CALCULO!R190="","",CALCULO!R190)</f>
        <v/>
      </c>
      <c r="C190" s="1" t="str">
        <f t="shared" si="4"/>
        <v/>
      </c>
      <c r="D190" s="1" t="str">
        <f t="shared" si="5"/>
        <v/>
      </c>
    </row>
    <row r="191" spans="1:4" x14ac:dyDescent="0.25">
      <c r="A191" s="1" t="str">
        <f>IF(CALCULO!Q191="","",CALCULO!Q191)</f>
        <v/>
      </c>
      <c r="B191" s="1" t="str">
        <f>IF(CALCULO!R191="","",CALCULO!R191)</f>
        <v/>
      </c>
      <c r="C191" s="1" t="str">
        <f t="shared" si="4"/>
        <v/>
      </c>
      <c r="D191" s="1" t="str">
        <f t="shared" si="5"/>
        <v/>
      </c>
    </row>
    <row r="192" spans="1:4" x14ac:dyDescent="0.25">
      <c r="A192" s="1" t="str">
        <f>IF(CALCULO!Q192="","",CALCULO!Q192)</f>
        <v/>
      </c>
      <c r="B192" s="1" t="str">
        <f>IF(CALCULO!R192="","",CALCULO!R192)</f>
        <v/>
      </c>
      <c r="C192" s="1" t="str">
        <f t="shared" si="4"/>
        <v/>
      </c>
      <c r="D192" s="1" t="str">
        <f t="shared" si="5"/>
        <v/>
      </c>
    </row>
    <row r="193" spans="1:4" x14ac:dyDescent="0.25">
      <c r="A193" s="1" t="str">
        <f>IF(CALCULO!Q193="","",CALCULO!Q193)</f>
        <v/>
      </c>
      <c r="B193" s="1" t="str">
        <f>IF(CALCULO!R193="","",CALCULO!R193)</f>
        <v/>
      </c>
      <c r="C193" s="1" t="str">
        <f t="shared" ref="C193:C256" si="6">IF(OR(A193="",B193=""),"",1)</f>
        <v/>
      </c>
      <c r="D193" s="1" t="str">
        <f t="shared" si="5"/>
        <v/>
      </c>
    </row>
    <row r="194" spans="1:4" x14ac:dyDescent="0.25">
      <c r="A194" s="1" t="str">
        <f>IF(CALCULO!Q194="","",CALCULO!Q194)</f>
        <v/>
      </c>
      <c r="B194" s="1" t="str">
        <f>IF(CALCULO!R194="","",CALCULO!R194)</f>
        <v/>
      </c>
      <c r="C194" s="1" t="str">
        <f t="shared" si="6"/>
        <v/>
      </c>
      <c r="D194" s="1" t="str">
        <f t="shared" ref="D194:D257" si="7">IF(A194&lt;&gt;"","MS10","")</f>
        <v/>
      </c>
    </row>
    <row r="195" spans="1:4" x14ac:dyDescent="0.25">
      <c r="A195" s="1" t="str">
        <f>IF(CALCULO!Q195="","",CALCULO!Q195)</f>
        <v/>
      </c>
      <c r="B195" s="1" t="str">
        <f>IF(CALCULO!R195="","",CALCULO!R195)</f>
        <v/>
      </c>
      <c r="C195" s="1" t="str">
        <f t="shared" si="6"/>
        <v/>
      </c>
      <c r="D195" s="1" t="str">
        <f t="shared" si="7"/>
        <v/>
      </c>
    </row>
    <row r="196" spans="1:4" x14ac:dyDescent="0.25">
      <c r="A196" s="1" t="str">
        <f>IF(CALCULO!Q196="","",CALCULO!Q196)</f>
        <v/>
      </c>
      <c r="B196" s="1" t="str">
        <f>IF(CALCULO!R196="","",CALCULO!R196)</f>
        <v/>
      </c>
      <c r="C196" s="1" t="str">
        <f t="shared" si="6"/>
        <v/>
      </c>
      <c r="D196" s="1" t="str">
        <f t="shared" si="7"/>
        <v/>
      </c>
    </row>
    <row r="197" spans="1:4" x14ac:dyDescent="0.25">
      <c r="A197" s="1" t="str">
        <f>IF(CALCULO!Q197="","",CALCULO!Q197)</f>
        <v/>
      </c>
      <c r="B197" s="1" t="str">
        <f>IF(CALCULO!R197="","",CALCULO!R197)</f>
        <v/>
      </c>
      <c r="C197" s="1" t="str">
        <f t="shared" si="6"/>
        <v/>
      </c>
      <c r="D197" s="1" t="str">
        <f t="shared" si="7"/>
        <v/>
      </c>
    </row>
    <row r="198" spans="1:4" x14ac:dyDescent="0.25">
      <c r="A198" s="1" t="str">
        <f>IF(CALCULO!Q198="","",CALCULO!Q198)</f>
        <v/>
      </c>
      <c r="B198" s="1" t="str">
        <f>IF(CALCULO!R198="","",CALCULO!R198)</f>
        <v/>
      </c>
      <c r="C198" s="1" t="str">
        <f t="shared" si="6"/>
        <v/>
      </c>
      <c r="D198" s="1" t="str">
        <f t="shared" si="7"/>
        <v/>
      </c>
    </row>
    <row r="199" spans="1:4" x14ac:dyDescent="0.25">
      <c r="A199" s="1" t="str">
        <f>IF(CALCULO!Q199="","",CALCULO!Q199)</f>
        <v/>
      </c>
      <c r="B199" s="1" t="str">
        <f>IF(CALCULO!R199="","",CALCULO!R199)</f>
        <v/>
      </c>
      <c r="C199" s="1" t="str">
        <f t="shared" si="6"/>
        <v/>
      </c>
      <c r="D199" s="1" t="str">
        <f t="shared" si="7"/>
        <v/>
      </c>
    </row>
    <row r="200" spans="1:4" x14ac:dyDescent="0.25">
      <c r="A200" s="1" t="str">
        <f>IF(CALCULO!Q200="","",CALCULO!Q200)</f>
        <v/>
      </c>
      <c r="B200" s="1" t="str">
        <f>IF(CALCULO!R200="","",CALCULO!R200)</f>
        <v/>
      </c>
      <c r="C200" s="1" t="str">
        <f t="shared" si="6"/>
        <v/>
      </c>
      <c r="D200" s="1" t="str">
        <f t="shared" si="7"/>
        <v/>
      </c>
    </row>
    <row r="201" spans="1:4" x14ac:dyDescent="0.25">
      <c r="A201" s="1" t="str">
        <f>IF(CALCULO!Q201="","",CALCULO!Q201)</f>
        <v/>
      </c>
      <c r="B201" s="1" t="str">
        <f>IF(CALCULO!R201="","",CALCULO!R201)</f>
        <v/>
      </c>
      <c r="C201" s="1" t="str">
        <f t="shared" si="6"/>
        <v/>
      </c>
      <c r="D201" s="1" t="str">
        <f t="shared" si="7"/>
        <v/>
      </c>
    </row>
    <row r="202" spans="1:4" x14ac:dyDescent="0.25">
      <c r="A202" s="1" t="str">
        <f>IF(CALCULO!Q202="","",CALCULO!Q202)</f>
        <v/>
      </c>
      <c r="B202" s="1" t="str">
        <f>IF(CALCULO!R202="","",CALCULO!R202)</f>
        <v/>
      </c>
      <c r="C202" s="1" t="str">
        <f t="shared" si="6"/>
        <v/>
      </c>
      <c r="D202" s="1" t="str">
        <f t="shared" si="7"/>
        <v/>
      </c>
    </row>
    <row r="203" spans="1:4" x14ac:dyDescent="0.25">
      <c r="A203" s="1" t="str">
        <f>IF(CALCULO!Q203="","",CALCULO!Q203)</f>
        <v/>
      </c>
      <c r="B203" s="1" t="str">
        <f>IF(CALCULO!R203="","",CALCULO!R203)</f>
        <v/>
      </c>
      <c r="C203" s="1" t="str">
        <f t="shared" si="6"/>
        <v/>
      </c>
      <c r="D203" s="1" t="str">
        <f t="shared" si="7"/>
        <v/>
      </c>
    </row>
    <row r="204" spans="1:4" x14ac:dyDescent="0.25">
      <c r="A204" s="1" t="str">
        <f>IF(CALCULO!Q204="","",CALCULO!Q204)</f>
        <v/>
      </c>
      <c r="B204" s="1" t="str">
        <f>IF(CALCULO!R204="","",CALCULO!R204)</f>
        <v/>
      </c>
      <c r="C204" s="1" t="str">
        <f t="shared" si="6"/>
        <v/>
      </c>
      <c r="D204" s="1" t="str">
        <f t="shared" si="7"/>
        <v/>
      </c>
    </row>
    <row r="205" spans="1:4" x14ac:dyDescent="0.25">
      <c r="A205" s="1" t="str">
        <f>IF(CALCULO!Q205="","",CALCULO!Q205)</f>
        <v/>
      </c>
      <c r="B205" s="1" t="str">
        <f>IF(CALCULO!R205="","",CALCULO!R205)</f>
        <v/>
      </c>
      <c r="C205" s="1" t="str">
        <f t="shared" si="6"/>
        <v/>
      </c>
      <c r="D205" s="1" t="str">
        <f t="shared" si="7"/>
        <v/>
      </c>
    </row>
    <row r="206" spans="1:4" x14ac:dyDescent="0.25">
      <c r="A206" s="1" t="str">
        <f>IF(CALCULO!Q206="","",CALCULO!Q206)</f>
        <v/>
      </c>
      <c r="B206" s="1" t="str">
        <f>IF(CALCULO!R206="","",CALCULO!R206)</f>
        <v/>
      </c>
      <c r="C206" s="1" t="str">
        <f t="shared" si="6"/>
        <v/>
      </c>
      <c r="D206" s="1" t="str">
        <f t="shared" si="7"/>
        <v/>
      </c>
    </row>
    <row r="207" spans="1:4" x14ac:dyDescent="0.25">
      <c r="A207" s="1" t="str">
        <f>IF(CALCULO!Q207="","",CALCULO!Q207)</f>
        <v/>
      </c>
      <c r="B207" s="1" t="str">
        <f>IF(CALCULO!R207="","",CALCULO!R207)</f>
        <v/>
      </c>
      <c r="C207" s="1" t="str">
        <f t="shared" si="6"/>
        <v/>
      </c>
      <c r="D207" s="1" t="str">
        <f t="shared" si="7"/>
        <v/>
      </c>
    </row>
    <row r="208" spans="1:4" x14ac:dyDescent="0.25">
      <c r="A208" s="1" t="str">
        <f>IF(CALCULO!Q208="","",CALCULO!Q208)</f>
        <v/>
      </c>
      <c r="B208" s="1" t="str">
        <f>IF(CALCULO!R208="","",CALCULO!R208)</f>
        <v/>
      </c>
      <c r="C208" s="1" t="str">
        <f t="shared" si="6"/>
        <v/>
      </c>
      <c r="D208" s="1" t="str">
        <f t="shared" si="7"/>
        <v/>
      </c>
    </row>
    <row r="209" spans="1:4" x14ac:dyDescent="0.25">
      <c r="A209" s="1" t="str">
        <f>IF(CALCULO!Q209="","",CALCULO!Q209)</f>
        <v/>
      </c>
      <c r="B209" s="1" t="str">
        <f>IF(CALCULO!R209="","",CALCULO!R209)</f>
        <v/>
      </c>
      <c r="C209" s="1" t="str">
        <f t="shared" si="6"/>
        <v/>
      </c>
      <c r="D209" s="1" t="str">
        <f t="shared" si="7"/>
        <v/>
      </c>
    </row>
    <row r="210" spans="1:4" x14ac:dyDescent="0.25">
      <c r="A210" s="1" t="str">
        <f>IF(CALCULO!Q210="","",CALCULO!Q210)</f>
        <v/>
      </c>
      <c r="B210" s="1" t="str">
        <f>IF(CALCULO!R210="","",CALCULO!R210)</f>
        <v/>
      </c>
      <c r="C210" s="1" t="str">
        <f t="shared" si="6"/>
        <v/>
      </c>
      <c r="D210" s="1" t="str">
        <f t="shared" si="7"/>
        <v/>
      </c>
    </row>
    <row r="211" spans="1:4" x14ac:dyDescent="0.25">
      <c r="A211" s="1" t="str">
        <f>IF(CALCULO!Q211="","",CALCULO!Q211)</f>
        <v/>
      </c>
      <c r="B211" s="1" t="str">
        <f>IF(CALCULO!R211="","",CALCULO!R211)</f>
        <v/>
      </c>
      <c r="C211" s="1" t="str">
        <f t="shared" si="6"/>
        <v/>
      </c>
      <c r="D211" s="1" t="str">
        <f t="shared" si="7"/>
        <v/>
      </c>
    </row>
    <row r="212" spans="1:4" x14ac:dyDescent="0.25">
      <c r="A212" s="1" t="str">
        <f>IF(CALCULO!Q212="","",CALCULO!Q212)</f>
        <v/>
      </c>
      <c r="B212" s="1" t="str">
        <f>IF(CALCULO!R212="","",CALCULO!R212)</f>
        <v/>
      </c>
      <c r="C212" s="1" t="str">
        <f t="shared" si="6"/>
        <v/>
      </c>
      <c r="D212" s="1" t="str">
        <f t="shared" si="7"/>
        <v/>
      </c>
    </row>
    <row r="213" spans="1:4" x14ac:dyDescent="0.25">
      <c r="A213" s="1" t="str">
        <f>IF(CALCULO!Q213="","",CALCULO!Q213)</f>
        <v/>
      </c>
      <c r="B213" s="1" t="str">
        <f>IF(CALCULO!R213="","",CALCULO!R213)</f>
        <v/>
      </c>
      <c r="C213" s="1" t="str">
        <f t="shared" si="6"/>
        <v/>
      </c>
      <c r="D213" s="1" t="str">
        <f t="shared" si="7"/>
        <v/>
      </c>
    </row>
    <row r="214" spans="1:4" x14ac:dyDescent="0.25">
      <c r="A214" s="1" t="str">
        <f>IF(CALCULO!Q214="","",CALCULO!Q214)</f>
        <v/>
      </c>
      <c r="B214" s="1" t="str">
        <f>IF(CALCULO!R214="","",CALCULO!R214)</f>
        <v/>
      </c>
      <c r="C214" s="1" t="str">
        <f t="shared" si="6"/>
        <v/>
      </c>
      <c r="D214" s="1" t="str">
        <f t="shared" si="7"/>
        <v/>
      </c>
    </row>
    <row r="215" spans="1:4" x14ac:dyDescent="0.25">
      <c r="A215" s="1" t="str">
        <f>IF(CALCULO!Q215="","",CALCULO!Q215)</f>
        <v/>
      </c>
      <c r="B215" s="1" t="str">
        <f>IF(CALCULO!R215="","",CALCULO!R215)</f>
        <v/>
      </c>
      <c r="C215" s="1" t="str">
        <f t="shared" si="6"/>
        <v/>
      </c>
      <c r="D215" s="1" t="str">
        <f t="shared" si="7"/>
        <v/>
      </c>
    </row>
    <row r="216" spans="1:4" x14ac:dyDescent="0.25">
      <c r="A216" s="1" t="str">
        <f>IF(CALCULO!Q216="","",CALCULO!Q216)</f>
        <v/>
      </c>
      <c r="B216" s="1" t="str">
        <f>IF(CALCULO!R216="","",CALCULO!R216)</f>
        <v/>
      </c>
      <c r="C216" s="1" t="str">
        <f t="shared" si="6"/>
        <v/>
      </c>
      <c r="D216" s="1" t="str">
        <f t="shared" si="7"/>
        <v/>
      </c>
    </row>
    <row r="217" spans="1:4" x14ac:dyDescent="0.25">
      <c r="A217" s="1" t="str">
        <f>IF(CALCULO!Q217="","",CALCULO!Q217)</f>
        <v/>
      </c>
      <c r="B217" s="1" t="str">
        <f>IF(CALCULO!R217="","",CALCULO!R217)</f>
        <v/>
      </c>
      <c r="C217" s="1" t="str">
        <f t="shared" si="6"/>
        <v/>
      </c>
      <c r="D217" s="1" t="str">
        <f t="shared" si="7"/>
        <v/>
      </c>
    </row>
    <row r="218" spans="1:4" x14ac:dyDescent="0.25">
      <c r="A218" s="1" t="str">
        <f>IF(CALCULO!Q218="","",CALCULO!Q218)</f>
        <v/>
      </c>
      <c r="B218" s="1" t="str">
        <f>IF(CALCULO!R218="","",CALCULO!R218)</f>
        <v/>
      </c>
      <c r="C218" s="1" t="str">
        <f t="shared" si="6"/>
        <v/>
      </c>
      <c r="D218" s="1" t="str">
        <f t="shared" si="7"/>
        <v/>
      </c>
    </row>
    <row r="219" spans="1:4" x14ac:dyDescent="0.25">
      <c r="A219" s="1" t="str">
        <f>IF(CALCULO!Q219="","",CALCULO!Q219)</f>
        <v/>
      </c>
      <c r="B219" s="1" t="str">
        <f>IF(CALCULO!R219="","",CALCULO!R219)</f>
        <v/>
      </c>
      <c r="C219" s="1" t="str">
        <f t="shared" si="6"/>
        <v/>
      </c>
      <c r="D219" s="1" t="str">
        <f t="shared" si="7"/>
        <v/>
      </c>
    </row>
    <row r="220" spans="1:4" x14ac:dyDescent="0.25">
      <c r="A220" s="1" t="str">
        <f>IF(CALCULO!Q220="","",CALCULO!Q220)</f>
        <v/>
      </c>
      <c r="B220" s="1" t="str">
        <f>IF(CALCULO!R220="","",CALCULO!R220)</f>
        <v/>
      </c>
      <c r="C220" s="1" t="str">
        <f t="shared" si="6"/>
        <v/>
      </c>
      <c r="D220" s="1" t="str">
        <f t="shared" si="7"/>
        <v/>
      </c>
    </row>
    <row r="221" spans="1:4" x14ac:dyDescent="0.25">
      <c r="A221" s="1" t="str">
        <f>IF(CALCULO!Q221="","",CALCULO!Q221)</f>
        <v/>
      </c>
      <c r="B221" s="1" t="str">
        <f>IF(CALCULO!R221="","",CALCULO!R221)</f>
        <v/>
      </c>
      <c r="C221" s="1" t="str">
        <f t="shared" si="6"/>
        <v/>
      </c>
      <c r="D221" s="1" t="str">
        <f t="shared" si="7"/>
        <v/>
      </c>
    </row>
    <row r="222" spans="1:4" x14ac:dyDescent="0.25">
      <c r="A222" s="1" t="str">
        <f>IF(CALCULO!Q222="","",CALCULO!Q222)</f>
        <v/>
      </c>
      <c r="B222" s="1" t="str">
        <f>IF(CALCULO!R222="","",CALCULO!R222)</f>
        <v/>
      </c>
      <c r="C222" s="1" t="str">
        <f t="shared" si="6"/>
        <v/>
      </c>
      <c r="D222" s="1" t="str">
        <f t="shared" si="7"/>
        <v/>
      </c>
    </row>
    <row r="223" spans="1:4" x14ac:dyDescent="0.25">
      <c r="A223" s="1" t="str">
        <f>IF(CALCULO!Q223="","",CALCULO!Q223)</f>
        <v/>
      </c>
      <c r="B223" s="1" t="str">
        <f>IF(CALCULO!R223="","",CALCULO!R223)</f>
        <v/>
      </c>
      <c r="C223" s="1" t="str">
        <f t="shared" si="6"/>
        <v/>
      </c>
      <c r="D223" s="1" t="str">
        <f t="shared" si="7"/>
        <v/>
      </c>
    </row>
    <row r="224" spans="1:4" x14ac:dyDescent="0.25">
      <c r="A224" s="1" t="str">
        <f>IF(CALCULO!Q224="","",CALCULO!Q224)</f>
        <v/>
      </c>
      <c r="B224" s="1" t="str">
        <f>IF(CALCULO!R224="","",CALCULO!R224)</f>
        <v/>
      </c>
      <c r="C224" s="1" t="str">
        <f t="shared" si="6"/>
        <v/>
      </c>
      <c r="D224" s="1" t="str">
        <f t="shared" si="7"/>
        <v/>
      </c>
    </row>
    <row r="225" spans="1:4" x14ac:dyDescent="0.25">
      <c r="A225" s="1" t="str">
        <f>IF(CALCULO!Q225="","",CALCULO!Q225)</f>
        <v/>
      </c>
      <c r="B225" s="1" t="str">
        <f>IF(CALCULO!R225="","",CALCULO!R225)</f>
        <v/>
      </c>
      <c r="C225" s="1" t="str">
        <f t="shared" si="6"/>
        <v/>
      </c>
      <c r="D225" s="1" t="str">
        <f t="shared" si="7"/>
        <v/>
      </c>
    </row>
    <row r="226" spans="1:4" x14ac:dyDescent="0.25">
      <c r="A226" s="1" t="str">
        <f>IF(CALCULO!Q226="","",CALCULO!Q226)</f>
        <v/>
      </c>
      <c r="B226" s="1" t="str">
        <f>IF(CALCULO!R226="","",CALCULO!R226)</f>
        <v/>
      </c>
      <c r="C226" s="1" t="str">
        <f t="shared" si="6"/>
        <v/>
      </c>
      <c r="D226" s="1" t="str">
        <f t="shared" si="7"/>
        <v/>
      </c>
    </row>
    <row r="227" spans="1:4" x14ac:dyDescent="0.25">
      <c r="A227" s="1" t="str">
        <f>IF(CALCULO!Q227="","",CALCULO!Q227)</f>
        <v/>
      </c>
      <c r="B227" s="1" t="str">
        <f>IF(CALCULO!R227="","",CALCULO!R227)</f>
        <v/>
      </c>
      <c r="C227" s="1" t="str">
        <f t="shared" si="6"/>
        <v/>
      </c>
      <c r="D227" s="1" t="str">
        <f t="shared" si="7"/>
        <v/>
      </c>
    </row>
    <row r="228" spans="1:4" x14ac:dyDescent="0.25">
      <c r="A228" s="1" t="str">
        <f>IF(CALCULO!Q228="","",CALCULO!Q228)</f>
        <v/>
      </c>
      <c r="B228" s="1" t="str">
        <f>IF(CALCULO!R228="","",CALCULO!R228)</f>
        <v/>
      </c>
      <c r="C228" s="1" t="str">
        <f t="shared" si="6"/>
        <v/>
      </c>
      <c r="D228" s="1" t="str">
        <f t="shared" si="7"/>
        <v/>
      </c>
    </row>
    <row r="229" spans="1:4" x14ac:dyDescent="0.25">
      <c r="A229" s="1" t="str">
        <f>IF(CALCULO!Q229="","",CALCULO!Q229)</f>
        <v/>
      </c>
      <c r="B229" s="1" t="str">
        <f>IF(CALCULO!R229="","",CALCULO!R229)</f>
        <v/>
      </c>
      <c r="C229" s="1" t="str">
        <f t="shared" si="6"/>
        <v/>
      </c>
      <c r="D229" s="1" t="str">
        <f t="shared" si="7"/>
        <v/>
      </c>
    </row>
    <row r="230" spans="1:4" x14ac:dyDescent="0.25">
      <c r="A230" s="1" t="str">
        <f>IF(CALCULO!Q230="","",CALCULO!Q230)</f>
        <v/>
      </c>
      <c r="B230" s="1" t="str">
        <f>IF(CALCULO!R230="","",CALCULO!R230)</f>
        <v/>
      </c>
      <c r="C230" s="1" t="str">
        <f t="shared" si="6"/>
        <v/>
      </c>
      <c r="D230" s="1" t="str">
        <f t="shared" si="7"/>
        <v/>
      </c>
    </row>
    <row r="231" spans="1:4" x14ac:dyDescent="0.25">
      <c r="A231" s="1" t="str">
        <f>IF(CALCULO!Q231="","",CALCULO!Q231)</f>
        <v/>
      </c>
      <c r="B231" s="1" t="str">
        <f>IF(CALCULO!R231="","",CALCULO!R231)</f>
        <v/>
      </c>
      <c r="C231" s="1" t="str">
        <f t="shared" si="6"/>
        <v/>
      </c>
      <c r="D231" s="1" t="str">
        <f t="shared" si="7"/>
        <v/>
      </c>
    </row>
    <row r="232" spans="1:4" x14ac:dyDescent="0.25">
      <c r="A232" s="1" t="str">
        <f>IF(CALCULO!Q232="","",CALCULO!Q232)</f>
        <v/>
      </c>
      <c r="B232" s="1" t="str">
        <f>IF(CALCULO!R232="","",CALCULO!R232)</f>
        <v/>
      </c>
      <c r="C232" s="1" t="str">
        <f t="shared" si="6"/>
        <v/>
      </c>
      <c r="D232" s="1" t="str">
        <f t="shared" si="7"/>
        <v/>
      </c>
    </row>
    <row r="233" spans="1:4" x14ac:dyDescent="0.25">
      <c r="A233" s="1" t="str">
        <f>IF(CALCULO!Q233="","",CALCULO!Q233)</f>
        <v/>
      </c>
      <c r="B233" s="1" t="str">
        <f>IF(CALCULO!R233="","",CALCULO!R233)</f>
        <v/>
      </c>
      <c r="C233" s="1" t="str">
        <f t="shared" si="6"/>
        <v/>
      </c>
      <c r="D233" s="1" t="str">
        <f t="shared" si="7"/>
        <v/>
      </c>
    </row>
    <row r="234" spans="1:4" x14ac:dyDescent="0.25">
      <c r="A234" s="1" t="str">
        <f>IF(CALCULO!Q234="","",CALCULO!Q234)</f>
        <v/>
      </c>
      <c r="B234" s="1" t="str">
        <f>IF(CALCULO!R234="","",CALCULO!R234)</f>
        <v/>
      </c>
      <c r="C234" s="1" t="str">
        <f t="shared" si="6"/>
        <v/>
      </c>
      <c r="D234" s="1" t="str">
        <f t="shared" si="7"/>
        <v/>
      </c>
    </row>
    <row r="235" spans="1:4" x14ac:dyDescent="0.25">
      <c r="A235" s="1" t="str">
        <f>IF(CALCULO!Q235="","",CALCULO!Q235)</f>
        <v/>
      </c>
      <c r="B235" s="1" t="str">
        <f>IF(CALCULO!R235="","",CALCULO!R235)</f>
        <v/>
      </c>
      <c r="C235" s="1" t="str">
        <f t="shared" si="6"/>
        <v/>
      </c>
      <c r="D235" s="1" t="str">
        <f t="shared" si="7"/>
        <v/>
      </c>
    </row>
    <row r="236" spans="1:4" x14ac:dyDescent="0.25">
      <c r="A236" s="1" t="str">
        <f>IF(CALCULO!Q236="","",CALCULO!Q236)</f>
        <v/>
      </c>
      <c r="B236" s="1" t="str">
        <f>IF(CALCULO!R236="","",CALCULO!R236)</f>
        <v/>
      </c>
      <c r="C236" s="1" t="str">
        <f t="shared" si="6"/>
        <v/>
      </c>
      <c r="D236" s="1" t="str">
        <f t="shared" si="7"/>
        <v/>
      </c>
    </row>
    <row r="237" spans="1:4" x14ac:dyDescent="0.25">
      <c r="A237" s="1" t="str">
        <f>IF(CALCULO!Q237="","",CALCULO!Q237)</f>
        <v/>
      </c>
      <c r="B237" s="1" t="str">
        <f>IF(CALCULO!R237="","",CALCULO!R237)</f>
        <v/>
      </c>
      <c r="C237" s="1" t="str">
        <f t="shared" si="6"/>
        <v/>
      </c>
      <c r="D237" s="1" t="str">
        <f t="shared" si="7"/>
        <v/>
      </c>
    </row>
    <row r="238" spans="1:4" x14ac:dyDescent="0.25">
      <c r="A238" s="1" t="str">
        <f>IF(CALCULO!Q238="","",CALCULO!Q238)</f>
        <v/>
      </c>
      <c r="B238" s="1" t="str">
        <f>IF(CALCULO!R238="","",CALCULO!R238)</f>
        <v/>
      </c>
      <c r="C238" s="1" t="str">
        <f t="shared" si="6"/>
        <v/>
      </c>
      <c r="D238" s="1" t="str">
        <f t="shared" si="7"/>
        <v/>
      </c>
    </row>
    <row r="239" spans="1:4" x14ac:dyDescent="0.25">
      <c r="A239" s="1" t="str">
        <f>IF(CALCULO!Q239="","",CALCULO!Q239)</f>
        <v/>
      </c>
      <c r="B239" s="1" t="str">
        <f>IF(CALCULO!R239="","",CALCULO!R239)</f>
        <v/>
      </c>
      <c r="C239" s="1" t="str">
        <f t="shared" si="6"/>
        <v/>
      </c>
      <c r="D239" s="1" t="str">
        <f t="shared" si="7"/>
        <v/>
      </c>
    </row>
    <row r="240" spans="1:4" x14ac:dyDescent="0.25">
      <c r="A240" s="1" t="str">
        <f>IF(CALCULO!Q240="","",CALCULO!Q240)</f>
        <v/>
      </c>
      <c r="B240" s="1" t="str">
        <f>IF(CALCULO!R240="","",CALCULO!R240)</f>
        <v/>
      </c>
      <c r="C240" s="1" t="str">
        <f t="shared" si="6"/>
        <v/>
      </c>
      <c r="D240" s="1" t="str">
        <f t="shared" si="7"/>
        <v/>
      </c>
    </row>
    <row r="241" spans="1:4" x14ac:dyDescent="0.25">
      <c r="A241" s="1" t="str">
        <f>IF(CALCULO!Q241="","",CALCULO!Q241)</f>
        <v/>
      </c>
      <c r="B241" s="1" t="str">
        <f>IF(CALCULO!R241="","",CALCULO!R241)</f>
        <v/>
      </c>
      <c r="C241" s="1" t="str">
        <f t="shared" si="6"/>
        <v/>
      </c>
      <c r="D241" s="1" t="str">
        <f t="shared" si="7"/>
        <v/>
      </c>
    </row>
    <row r="242" spans="1:4" x14ac:dyDescent="0.25">
      <c r="A242" s="1" t="str">
        <f>IF(CALCULO!Q242="","",CALCULO!Q242)</f>
        <v/>
      </c>
      <c r="B242" s="1" t="str">
        <f>IF(CALCULO!R242="","",CALCULO!R242)</f>
        <v/>
      </c>
      <c r="C242" s="1" t="str">
        <f t="shared" si="6"/>
        <v/>
      </c>
      <c r="D242" s="1" t="str">
        <f t="shared" si="7"/>
        <v/>
      </c>
    </row>
    <row r="243" spans="1:4" x14ac:dyDescent="0.25">
      <c r="A243" s="1" t="str">
        <f>IF(CALCULO!Q243="","",CALCULO!Q243)</f>
        <v/>
      </c>
      <c r="B243" s="1" t="str">
        <f>IF(CALCULO!R243="","",CALCULO!R243)</f>
        <v/>
      </c>
      <c r="C243" s="1" t="str">
        <f t="shared" si="6"/>
        <v/>
      </c>
      <c r="D243" s="1" t="str">
        <f t="shared" si="7"/>
        <v/>
      </c>
    </row>
    <row r="244" spans="1:4" x14ac:dyDescent="0.25">
      <c r="A244" s="1" t="str">
        <f>IF(CALCULO!Q244="","",CALCULO!Q244)</f>
        <v/>
      </c>
      <c r="B244" s="1" t="str">
        <f>IF(CALCULO!R244="","",CALCULO!R244)</f>
        <v/>
      </c>
      <c r="C244" s="1" t="str">
        <f t="shared" si="6"/>
        <v/>
      </c>
      <c r="D244" s="1" t="str">
        <f t="shared" si="7"/>
        <v/>
      </c>
    </row>
    <row r="245" spans="1:4" x14ac:dyDescent="0.25">
      <c r="A245" s="1" t="str">
        <f>IF(CALCULO!Q245="","",CALCULO!Q245)</f>
        <v/>
      </c>
      <c r="B245" s="1" t="str">
        <f>IF(CALCULO!R245="","",CALCULO!R245)</f>
        <v/>
      </c>
      <c r="C245" s="1" t="str">
        <f t="shared" si="6"/>
        <v/>
      </c>
      <c r="D245" s="1" t="str">
        <f t="shared" si="7"/>
        <v/>
      </c>
    </row>
    <row r="246" spans="1:4" x14ac:dyDescent="0.25">
      <c r="A246" s="1" t="str">
        <f>IF(CALCULO!Q246="","",CALCULO!Q246)</f>
        <v/>
      </c>
      <c r="B246" s="1" t="str">
        <f>IF(CALCULO!R246="","",CALCULO!R246)</f>
        <v/>
      </c>
      <c r="C246" s="1" t="str">
        <f t="shared" si="6"/>
        <v/>
      </c>
      <c r="D246" s="1" t="str">
        <f t="shared" si="7"/>
        <v/>
      </c>
    </row>
    <row r="247" spans="1:4" x14ac:dyDescent="0.25">
      <c r="A247" s="1" t="str">
        <f>IF(CALCULO!Q247="","",CALCULO!Q247)</f>
        <v/>
      </c>
      <c r="B247" s="1" t="str">
        <f>IF(CALCULO!R247="","",CALCULO!R247)</f>
        <v/>
      </c>
      <c r="C247" s="1" t="str">
        <f t="shared" si="6"/>
        <v/>
      </c>
      <c r="D247" s="1" t="str">
        <f t="shared" si="7"/>
        <v/>
      </c>
    </row>
    <row r="248" spans="1:4" x14ac:dyDescent="0.25">
      <c r="A248" s="1" t="str">
        <f>IF(CALCULO!Q248="","",CALCULO!Q248)</f>
        <v/>
      </c>
      <c r="B248" s="1" t="str">
        <f>IF(CALCULO!R248="","",CALCULO!R248)</f>
        <v/>
      </c>
      <c r="C248" s="1" t="str">
        <f t="shared" si="6"/>
        <v/>
      </c>
      <c r="D248" s="1" t="str">
        <f t="shared" si="7"/>
        <v/>
      </c>
    </row>
    <row r="249" spans="1:4" x14ac:dyDescent="0.25">
      <c r="A249" s="1" t="str">
        <f>IF(CALCULO!Q249="","",CALCULO!Q249)</f>
        <v/>
      </c>
      <c r="B249" s="1" t="str">
        <f>IF(CALCULO!R249="","",CALCULO!R249)</f>
        <v/>
      </c>
      <c r="C249" s="1" t="str">
        <f t="shared" si="6"/>
        <v/>
      </c>
      <c r="D249" s="1" t="str">
        <f t="shared" si="7"/>
        <v/>
      </c>
    </row>
    <row r="250" spans="1:4" x14ac:dyDescent="0.25">
      <c r="A250" s="1" t="str">
        <f>IF(CALCULO!Q250="","",CALCULO!Q250)</f>
        <v/>
      </c>
      <c r="B250" s="1" t="str">
        <f>IF(CALCULO!R250="","",CALCULO!R250)</f>
        <v/>
      </c>
      <c r="C250" s="1" t="str">
        <f t="shared" si="6"/>
        <v/>
      </c>
      <c r="D250" s="1" t="str">
        <f t="shared" si="7"/>
        <v/>
      </c>
    </row>
    <row r="251" spans="1:4" x14ac:dyDescent="0.25">
      <c r="A251" s="1" t="str">
        <f>IF(CALCULO!Q251="","",CALCULO!Q251)</f>
        <v/>
      </c>
      <c r="B251" s="1" t="str">
        <f>IF(CALCULO!R251="","",CALCULO!R251)</f>
        <v/>
      </c>
      <c r="C251" s="1" t="str">
        <f t="shared" si="6"/>
        <v/>
      </c>
      <c r="D251" s="1" t="str">
        <f t="shared" si="7"/>
        <v/>
      </c>
    </row>
    <row r="252" spans="1:4" x14ac:dyDescent="0.25">
      <c r="A252" s="1" t="str">
        <f>IF(CALCULO!Q252="","",CALCULO!Q252)</f>
        <v/>
      </c>
      <c r="B252" s="1" t="str">
        <f>IF(CALCULO!R252="","",CALCULO!R252)</f>
        <v/>
      </c>
      <c r="C252" s="1" t="str">
        <f t="shared" si="6"/>
        <v/>
      </c>
      <c r="D252" s="1" t="str">
        <f t="shared" si="7"/>
        <v/>
      </c>
    </row>
    <row r="253" spans="1:4" x14ac:dyDescent="0.25">
      <c r="A253" s="1" t="str">
        <f>IF(CALCULO!Q253="","",CALCULO!Q253)</f>
        <v/>
      </c>
      <c r="B253" s="1" t="str">
        <f>IF(CALCULO!R253="","",CALCULO!R253)</f>
        <v/>
      </c>
      <c r="C253" s="1" t="str">
        <f t="shared" si="6"/>
        <v/>
      </c>
      <c r="D253" s="1" t="str">
        <f t="shared" si="7"/>
        <v/>
      </c>
    </row>
    <row r="254" spans="1:4" x14ac:dyDescent="0.25">
      <c r="A254" s="1" t="str">
        <f>IF(CALCULO!Q254="","",CALCULO!Q254)</f>
        <v/>
      </c>
      <c r="B254" s="1" t="str">
        <f>IF(CALCULO!R254="","",CALCULO!R254)</f>
        <v/>
      </c>
      <c r="C254" s="1" t="str">
        <f t="shared" si="6"/>
        <v/>
      </c>
      <c r="D254" s="1" t="str">
        <f t="shared" si="7"/>
        <v/>
      </c>
    </row>
    <row r="255" spans="1:4" x14ac:dyDescent="0.25">
      <c r="A255" s="1" t="str">
        <f>IF(CALCULO!Q255="","",CALCULO!Q255)</f>
        <v/>
      </c>
      <c r="B255" s="1" t="str">
        <f>IF(CALCULO!R255="","",CALCULO!R255)</f>
        <v/>
      </c>
      <c r="C255" s="1" t="str">
        <f t="shared" si="6"/>
        <v/>
      </c>
      <c r="D255" s="1" t="str">
        <f t="shared" si="7"/>
        <v/>
      </c>
    </row>
    <row r="256" spans="1:4" x14ac:dyDescent="0.25">
      <c r="A256" s="1" t="str">
        <f>IF(CALCULO!Q256="","",CALCULO!Q256)</f>
        <v/>
      </c>
      <c r="B256" s="1" t="str">
        <f>IF(CALCULO!R256="","",CALCULO!R256)</f>
        <v/>
      </c>
      <c r="C256" s="1" t="str">
        <f t="shared" si="6"/>
        <v/>
      </c>
      <c r="D256" s="1" t="str">
        <f t="shared" si="7"/>
        <v/>
      </c>
    </row>
    <row r="257" spans="1:4" x14ac:dyDescent="0.25">
      <c r="A257" s="1" t="str">
        <f>IF(CALCULO!Q257="","",CALCULO!Q257)</f>
        <v/>
      </c>
      <c r="B257" s="1" t="str">
        <f>IF(CALCULO!R257="","",CALCULO!R257)</f>
        <v/>
      </c>
      <c r="C257" s="1" t="str">
        <f t="shared" ref="C257:C320" si="8">IF(OR(A257="",B257=""),"",1)</f>
        <v/>
      </c>
      <c r="D257" s="1" t="str">
        <f t="shared" si="7"/>
        <v/>
      </c>
    </row>
    <row r="258" spans="1:4" x14ac:dyDescent="0.25">
      <c r="A258" s="1" t="str">
        <f>IF(CALCULO!Q258="","",CALCULO!Q258)</f>
        <v/>
      </c>
      <c r="B258" s="1" t="str">
        <f>IF(CALCULO!R258="","",CALCULO!R258)</f>
        <v/>
      </c>
      <c r="C258" s="1" t="str">
        <f t="shared" si="8"/>
        <v/>
      </c>
      <c r="D258" s="1" t="str">
        <f t="shared" ref="D258:D321" si="9">IF(A258&lt;&gt;"","MS10","")</f>
        <v/>
      </c>
    </row>
    <row r="259" spans="1:4" x14ac:dyDescent="0.25">
      <c r="A259" s="1" t="str">
        <f>IF(CALCULO!Q259="","",CALCULO!Q259)</f>
        <v/>
      </c>
      <c r="B259" s="1" t="str">
        <f>IF(CALCULO!R259="","",CALCULO!R259)</f>
        <v/>
      </c>
      <c r="C259" s="1" t="str">
        <f t="shared" si="8"/>
        <v/>
      </c>
      <c r="D259" s="1" t="str">
        <f t="shared" si="9"/>
        <v/>
      </c>
    </row>
    <row r="260" spans="1:4" x14ac:dyDescent="0.25">
      <c r="A260" s="1" t="str">
        <f>IF(CALCULO!Q260="","",CALCULO!Q260)</f>
        <v/>
      </c>
      <c r="B260" s="1" t="str">
        <f>IF(CALCULO!R260="","",CALCULO!R260)</f>
        <v/>
      </c>
      <c r="C260" s="1" t="str">
        <f t="shared" si="8"/>
        <v/>
      </c>
      <c r="D260" s="1" t="str">
        <f t="shared" si="9"/>
        <v/>
      </c>
    </row>
    <row r="261" spans="1:4" x14ac:dyDescent="0.25">
      <c r="A261" s="1" t="str">
        <f>IF(CALCULO!Q261="","",CALCULO!Q261)</f>
        <v/>
      </c>
      <c r="B261" s="1" t="str">
        <f>IF(CALCULO!R261="","",CALCULO!R261)</f>
        <v/>
      </c>
      <c r="C261" s="1" t="str">
        <f t="shared" si="8"/>
        <v/>
      </c>
      <c r="D261" s="1" t="str">
        <f t="shared" si="9"/>
        <v/>
      </c>
    </row>
    <row r="262" spans="1:4" x14ac:dyDescent="0.25">
      <c r="A262" s="1" t="str">
        <f>IF(CALCULO!Q262="","",CALCULO!Q262)</f>
        <v/>
      </c>
      <c r="B262" s="1" t="str">
        <f>IF(CALCULO!R262="","",CALCULO!R262)</f>
        <v/>
      </c>
      <c r="C262" s="1" t="str">
        <f t="shared" si="8"/>
        <v/>
      </c>
      <c r="D262" s="1" t="str">
        <f t="shared" si="9"/>
        <v/>
      </c>
    </row>
    <row r="263" spans="1:4" x14ac:dyDescent="0.25">
      <c r="A263" s="1" t="str">
        <f>IF(CALCULO!Q263="","",CALCULO!Q263)</f>
        <v/>
      </c>
      <c r="B263" s="1" t="str">
        <f>IF(CALCULO!R263="","",CALCULO!R263)</f>
        <v/>
      </c>
      <c r="C263" s="1" t="str">
        <f t="shared" si="8"/>
        <v/>
      </c>
      <c r="D263" s="1" t="str">
        <f t="shared" si="9"/>
        <v/>
      </c>
    </row>
    <row r="264" spans="1:4" x14ac:dyDescent="0.25">
      <c r="A264" s="1" t="str">
        <f>IF(CALCULO!Q264="","",CALCULO!Q264)</f>
        <v/>
      </c>
      <c r="B264" s="1" t="str">
        <f>IF(CALCULO!R264="","",CALCULO!R264)</f>
        <v/>
      </c>
      <c r="C264" s="1" t="str">
        <f t="shared" si="8"/>
        <v/>
      </c>
      <c r="D264" s="1" t="str">
        <f t="shared" si="9"/>
        <v/>
      </c>
    </row>
    <row r="265" spans="1:4" x14ac:dyDescent="0.25">
      <c r="A265" s="1" t="str">
        <f>IF(CALCULO!Q265="","",CALCULO!Q265)</f>
        <v/>
      </c>
      <c r="B265" s="1" t="str">
        <f>IF(CALCULO!R265="","",CALCULO!R265)</f>
        <v/>
      </c>
      <c r="C265" s="1" t="str">
        <f t="shared" si="8"/>
        <v/>
      </c>
      <c r="D265" s="1" t="str">
        <f t="shared" si="9"/>
        <v/>
      </c>
    </row>
    <row r="266" spans="1:4" x14ac:dyDescent="0.25">
      <c r="A266" s="1" t="str">
        <f>IF(CALCULO!Q266="","",CALCULO!Q266)</f>
        <v/>
      </c>
      <c r="B266" s="1" t="str">
        <f>IF(CALCULO!R266="","",CALCULO!R266)</f>
        <v/>
      </c>
      <c r="C266" s="1" t="str">
        <f t="shared" si="8"/>
        <v/>
      </c>
      <c r="D266" s="1" t="str">
        <f t="shared" si="9"/>
        <v/>
      </c>
    </row>
    <row r="267" spans="1:4" x14ac:dyDescent="0.25">
      <c r="A267" s="1" t="str">
        <f>IF(CALCULO!Q267="","",CALCULO!Q267)</f>
        <v/>
      </c>
      <c r="B267" s="1" t="str">
        <f>IF(CALCULO!R267="","",CALCULO!R267)</f>
        <v/>
      </c>
      <c r="C267" s="1" t="str">
        <f t="shared" si="8"/>
        <v/>
      </c>
      <c r="D267" s="1" t="str">
        <f t="shared" si="9"/>
        <v/>
      </c>
    </row>
    <row r="268" spans="1:4" x14ac:dyDescent="0.25">
      <c r="A268" s="1" t="str">
        <f>IF(CALCULO!Q268="","",CALCULO!Q268)</f>
        <v/>
      </c>
      <c r="B268" s="1" t="str">
        <f>IF(CALCULO!R268="","",CALCULO!R268)</f>
        <v/>
      </c>
      <c r="C268" s="1" t="str">
        <f t="shared" si="8"/>
        <v/>
      </c>
      <c r="D268" s="1" t="str">
        <f t="shared" si="9"/>
        <v/>
      </c>
    </row>
    <row r="269" spans="1:4" x14ac:dyDescent="0.25">
      <c r="A269" s="1" t="str">
        <f>IF(CALCULO!Q269="","",CALCULO!Q269)</f>
        <v/>
      </c>
      <c r="B269" s="1" t="str">
        <f>IF(CALCULO!R269="","",CALCULO!R269)</f>
        <v/>
      </c>
      <c r="C269" s="1" t="str">
        <f t="shared" si="8"/>
        <v/>
      </c>
      <c r="D269" s="1" t="str">
        <f t="shared" si="9"/>
        <v/>
      </c>
    </row>
    <row r="270" spans="1:4" x14ac:dyDescent="0.25">
      <c r="A270" s="1" t="str">
        <f>IF(CALCULO!Q270="","",CALCULO!Q270)</f>
        <v/>
      </c>
      <c r="B270" s="1" t="str">
        <f>IF(CALCULO!R270="","",CALCULO!R270)</f>
        <v/>
      </c>
      <c r="C270" s="1" t="str">
        <f t="shared" si="8"/>
        <v/>
      </c>
      <c r="D270" s="1" t="str">
        <f t="shared" si="9"/>
        <v/>
      </c>
    </row>
    <row r="271" spans="1:4" x14ac:dyDescent="0.25">
      <c r="A271" s="1" t="str">
        <f>IF(CALCULO!Q271="","",CALCULO!Q271)</f>
        <v/>
      </c>
      <c r="B271" s="1" t="str">
        <f>IF(CALCULO!R271="","",CALCULO!R271)</f>
        <v/>
      </c>
      <c r="C271" s="1" t="str">
        <f t="shared" si="8"/>
        <v/>
      </c>
      <c r="D271" s="1" t="str">
        <f t="shared" si="9"/>
        <v/>
      </c>
    </row>
    <row r="272" spans="1:4" x14ac:dyDescent="0.25">
      <c r="A272" s="1" t="str">
        <f>IF(CALCULO!Q272="","",CALCULO!Q272)</f>
        <v/>
      </c>
      <c r="B272" s="1" t="str">
        <f>IF(CALCULO!R272="","",CALCULO!R272)</f>
        <v/>
      </c>
      <c r="C272" s="1" t="str">
        <f t="shared" si="8"/>
        <v/>
      </c>
      <c r="D272" s="1" t="str">
        <f t="shared" si="9"/>
        <v/>
      </c>
    </row>
    <row r="273" spans="1:4" x14ac:dyDescent="0.25">
      <c r="A273" s="1" t="str">
        <f>IF(CALCULO!Q273="","",CALCULO!Q273)</f>
        <v/>
      </c>
      <c r="B273" s="1" t="str">
        <f>IF(CALCULO!R273="","",CALCULO!R273)</f>
        <v/>
      </c>
      <c r="C273" s="1" t="str">
        <f t="shared" si="8"/>
        <v/>
      </c>
      <c r="D273" s="1" t="str">
        <f t="shared" si="9"/>
        <v/>
      </c>
    </row>
    <row r="274" spans="1:4" x14ac:dyDescent="0.25">
      <c r="A274" s="1" t="str">
        <f>IF(CALCULO!Q274="","",CALCULO!Q274)</f>
        <v/>
      </c>
      <c r="B274" s="1" t="str">
        <f>IF(CALCULO!R274="","",CALCULO!R274)</f>
        <v/>
      </c>
      <c r="C274" s="1" t="str">
        <f t="shared" si="8"/>
        <v/>
      </c>
      <c r="D274" s="1" t="str">
        <f t="shared" si="9"/>
        <v/>
      </c>
    </row>
    <row r="275" spans="1:4" x14ac:dyDescent="0.25">
      <c r="A275" s="1" t="str">
        <f>IF(CALCULO!Q275="","",CALCULO!Q275)</f>
        <v/>
      </c>
      <c r="B275" s="1" t="str">
        <f>IF(CALCULO!R275="","",CALCULO!R275)</f>
        <v/>
      </c>
      <c r="C275" s="1" t="str">
        <f t="shared" si="8"/>
        <v/>
      </c>
      <c r="D275" s="1" t="str">
        <f t="shared" si="9"/>
        <v/>
      </c>
    </row>
    <row r="276" spans="1:4" x14ac:dyDescent="0.25">
      <c r="A276" s="1" t="str">
        <f>IF(CALCULO!Q276="","",CALCULO!Q276)</f>
        <v/>
      </c>
      <c r="B276" s="1" t="str">
        <f>IF(CALCULO!R276="","",CALCULO!R276)</f>
        <v/>
      </c>
      <c r="C276" s="1" t="str">
        <f t="shared" si="8"/>
        <v/>
      </c>
      <c r="D276" s="1" t="str">
        <f t="shared" si="9"/>
        <v/>
      </c>
    </row>
    <row r="277" spans="1:4" x14ac:dyDescent="0.25">
      <c r="A277" s="1" t="str">
        <f>IF(CALCULO!Q277="","",CALCULO!Q277)</f>
        <v/>
      </c>
      <c r="B277" s="1" t="str">
        <f>IF(CALCULO!R277="","",CALCULO!R277)</f>
        <v/>
      </c>
      <c r="C277" s="1" t="str">
        <f t="shared" si="8"/>
        <v/>
      </c>
      <c r="D277" s="1" t="str">
        <f t="shared" si="9"/>
        <v/>
      </c>
    </row>
    <row r="278" spans="1:4" x14ac:dyDescent="0.25">
      <c r="A278" s="1" t="str">
        <f>IF(CALCULO!Q278="","",CALCULO!Q278)</f>
        <v/>
      </c>
      <c r="B278" s="1" t="str">
        <f>IF(CALCULO!R278="","",CALCULO!R278)</f>
        <v/>
      </c>
      <c r="C278" s="1" t="str">
        <f t="shared" si="8"/>
        <v/>
      </c>
      <c r="D278" s="1" t="str">
        <f t="shared" si="9"/>
        <v/>
      </c>
    </row>
    <row r="279" spans="1:4" x14ac:dyDescent="0.25">
      <c r="A279" s="1" t="str">
        <f>IF(CALCULO!Q279="","",CALCULO!Q279)</f>
        <v/>
      </c>
      <c r="B279" s="1" t="str">
        <f>IF(CALCULO!R279="","",CALCULO!R279)</f>
        <v/>
      </c>
      <c r="C279" s="1" t="str">
        <f t="shared" si="8"/>
        <v/>
      </c>
      <c r="D279" s="1" t="str">
        <f t="shared" si="9"/>
        <v/>
      </c>
    </row>
    <row r="280" spans="1:4" x14ac:dyDescent="0.25">
      <c r="A280" s="1" t="str">
        <f>IF(CALCULO!Q280="","",CALCULO!Q280)</f>
        <v/>
      </c>
      <c r="B280" s="1" t="str">
        <f>IF(CALCULO!R280="","",CALCULO!R280)</f>
        <v/>
      </c>
      <c r="C280" s="1" t="str">
        <f t="shared" si="8"/>
        <v/>
      </c>
      <c r="D280" s="1" t="str">
        <f t="shared" si="9"/>
        <v/>
      </c>
    </row>
    <row r="281" spans="1:4" x14ac:dyDescent="0.25">
      <c r="A281" s="1" t="str">
        <f>IF(CALCULO!Q281="","",CALCULO!Q281)</f>
        <v/>
      </c>
      <c r="B281" s="1" t="str">
        <f>IF(CALCULO!R281="","",CALCULO!R281)</f>
        <v/>
      </c>
      <c r="C281" s="1" t="str">
        <f t="shared" si="8"/>
        <v/>
      </c>
      <c r="D281" s="1" t="str">
        <f t="shared" si="9"/>
        <v/>
      </c>
    </row>
    <row r="282" spans="1:4" x14ac:dyDescent="0.25">
      <c r="A282" s="1" t="str">
        <f>IF(CALCULO!Q282="","",CALCULO!Q282)</f>
        <v/>
      </c>
      <c r="B282" s="1" t="str">
        <f>IF(CALCULO!R282="","",CALCULO!R282)</f>
        <v/>
      </c>
      <c r="C282" s="1" t="str">
        <f t="shared" si="8"/>
        <v/>
      </c>
      <c r="D282" s="1" t="str">
        <f t="shared" si="9"/>
        <v/>
      </c>
    </row>
    <row r="283" spans="1:4" x14ac:dyDescent="0.25">
      <c r="A283" s="1" t="str">
        <f>IF(CALCULO!Q283="","",CALCULO!Q283)</f>
        <v/>
      </c>
      <c r="B283" s="1" t="str">
        <f>IF(CALCULO!R283="","",CALCULO!R283)</f>
        <v/>
      </c>
      <c r="C283" s="1" t="str">
        <f t="shared" si="8"/>
        <v/>
      </c>
      <c r="D283" s="1" t="str">
        <f t="shared" si="9"/>
        <v/>
      </c>
    </row>
    <row r="284" spans="1:4" x14ac:dyDescent="0.25">
      <c r="A284" s="1" t="str">
        <f>IF(CALCULO!Q284="","",CALCULO!Q284)</f>
        <v/>
      </c>
      <c r="B284" s="1" t="str">
        <f>IF(CALCULO!R284="","",CALCULO!R284)</f>
        <v/>
      </c>
      <c r="C284" s="1" t="str">
        <f t="shared" si="8"/>
        <v/>
      </c>
      <c r="D284" s="1" t="str">
        <f t="shared" si="9"/>
        <v/>
      </c>
    </row>
    <row r="285" spans="1:4" x14ac:dyDescent="0.25">
      <c r="A285" s="1" t="str">
        <f>IF(CALCULO!Q285="","",CALCULO!Q285)</f>
        <v/>
      </c>
      <c r="B285" s="1" t="str">
        <f>IF(CALCULO!R285="","",CALCULO!R285)</f>
        <v/>
      </c>
      <c r="C285" s="1" t="str">
        <f t="shared" si="8"/>
        <v/>
      </c>
      <c r="D285" s="1" t="str">
        <f t="shared" si="9"/>
        <v/>
      </c>
    </row>
    <row r="286" spans="1:4" x14ac:dyDescent="0.25">
      <c r="A286" s="1" t="str">
        <f>IF(CALCULO!Q286="","",CALCULO!Q286)</f>
        <v/>
      </c>
      <c r="B286" s="1" t="str">
        <f>IF(CALCULO!R286="","",CALCULO!R286)</f>
        <v/>
      </c>
      <c r="C286" s="1" t="str">
        <f t="shared" si="8"/>
        <v/>
      </c>
      <c r="D286" s="1" t="str">
        <f t="shared" si="9"/>
        <v/>
      </c>
    </row>
    <row r="287" spans="1:4" x14ac:dyDescent="0.25">
      <c r="A287" s="1" t="str">
        <f>IF(CALCULO!Q287="","",CALCULO!Q287)</f>
        <v/>
      </c>
      <c r="B287" s="1" t="str">
        <f>IF(CALCULO!R287="","",CALCULO!R287)</f>
        <v/>
      </c>
      <c r="C287" s="1" t="str">
        <f t="shared" si="8"/>
        <v/>
      </c>
      <c r="D287" s="1" t="str">
        <f t="shared" si="9"/>
        <v/>
      </c>
    </row>
    <row r="288" spans="1:4" x14ac:dyDescent="0.25">
      <c r="A288" s="1" t="str">
        <f>IF(CALCULO!Q288="","",CALCULO!Q288)</f>
        <v/>
      </c>
      <c r="B288" s="1" t="str">
        <f>IF(CALCULO!R288="","",CALCULO!R288)</f>
        <v/>
      </c>
      <c r="C288" s="1" t="str">
        <f t="shared" si="8"/>
        <v/>
      </c>
      <c r="D288" s="1" t="str">
        <f t="shared" si="9"/>
        <v/>
      </c>
    </row>
    <row r="289" spans="1:4" x14ac:dyDescent="0.25">
      <c r="A289" s="1" t="str">
        <f>IF(CALCULO!Q289="","",CALCULO!Q289)</f>
        <v/>
      </c>
      <c r="B289" s="1" t="str">
        <f>IF(CALCULO!R289="","",CALCULO!R289)</f>
        <v/>
      </c>
      <c r="C289" s="1" t="str">
        <f t="shared" si="8"/>
        <v/>
      </c>
      <c r="D289" s="1" t="str">
        <f t="shared" si="9"/>
        <v/>
      </c>
    </row>
    <row r="290" spans="1:4" x14ac:dyDescent="0.25">
      <c r="A290" s="1" t="str">
        <f>IF(CALCULO!Q290="","",CALCULO!Q290)</f>
        <v/>
      </c>
      <c r="B290" s="1" t="str">
        <f>IF(CALCULO!R290="","",CALCULO!R290)</f>
        <v/>
      </c>
      <c r="C290" s="1" t="str">
        <f t="shared" si="8"/>
        <v/>
      </c>
      <c r="D290" s="1" t="str">
        <f t="shared" si="9"/>
        <v/>
      </c>
    </row>
    <row r="291" spans="1:4" x14ac:dyDescent="0.25">
      <c r="A291" s="1" t="str">
        <f>IF(CALCULO!Q291="","",CALCULO!Q291)</f>
        <v/>
      </c>
      <c r="B291" s="1" t="str">
        <f>IF(CALCULO!R291="","",CALCULO!R291)</f>
        <v/>
      </c>
      <c r="C291" s="1" t="str">
        <f t="shared" si="8"/>
        <v/>
      </c>
      <c r="D291" s="1" t="str">
        <f t="shared" si="9"/>
        <v/>
      </c>
    </row>
    <row r="292" spans="1:4" x14ac:dyDescent="0.25">
      <c r="A292" s="1" t="str">
        <f>IF(CALCULO!Q292="","",CALCULO!Q292)</f>
        <v/>
      </c>
      <c r="B292" s="1" t="str">
        <f>IF(CALCULO!R292="","",CALCULO!R292)</f>
        <v/>
      </c>
      <c r="C292" s="1" t="str">
        <f t="shared" si="8"/>
        <v/>
      </c>
      <c r="D292" s="1" t="str">
        <f t="shared" si="9"/>
        <v/>
      </c>
    </row>
    <row r="293" spans="1:4" x14ac:dyDescent="0.25">
      <c r="A293" s="1" t="str">
        <f>IF(CALCULO!Q293="","",CALCULO!Q293)</f>
        <v/>
      </c>
      <c r="B293" s="1" t="str">
        <f>IF(CALCULO!R293="","",CALCULO!R293)</f>
        <v/>
      </c>
      <c r="C293" s="1" t="str">
        <f t="shared" si="8"/>
        <v/>
      </c>
      <c r="D293" s="1" t="str">
        <f t="shared" si="9"/>
        <v/>
      </c>
    </row>
    <row r="294" spans="1:4" x14ac:dyDescent="0.25">
      <c r="A294" s="1" t="str">
        <f>IF(CALCULO!Q294="","",CALCULO!Q294)</f>
        <v/>
      </c>
      <c r="B294" s="1" t="str">
        <f>IF(CALCULO!R294="","",CALCULO!R294)</f>
        <v/>
      </c>
      <c r="C294" s="1" t="str">
        <f t="shared" si="8"/>
        <v/>
      </c>
      <c r="D294" s="1" t="str">
        <f t="shared" si="9"/>
        <v/>
      </c>
    </row>
    <row r="295" spans="1:4" x14ac:dyDescent="0.25">
      <c r="A295" s="1" t="str">
        <f>IF(CALCULO!Q295="","",CALCULO!Q295)</f>
        <v/>
      </c>
      <c r="B295" s="1" t="str">
        <f>IF(CALCULO!R295="","",CALCULO!R295)</f>
        <v/>
      </c>
      <c r="C295" s="1" t="str">
        <f t="shared" si="8"/>
        <v/>
      </c>
      <c r="D295" s="1" t="str">
        <f t="shared" si="9"/>
        <v/>
      </c>
    </row>
    <row r="296" spans="1:4" x14ac:dyDescent="0.25">
      <c r="A296" s="1" t="str">
        <f>IF(CALCULO!Q296="","",CALCULO!Q296)</f>
        <v/>
      </c>
      <c r="B296" s="1" t="str">
        <f>IF(CALCULO!R296="","",CALCULO!R296)</f>
        <v/>
      </c>
      <c r="C296" s="1" t="str">
        <f t="shared" si="8"/>
        <v/>
      </c>
      <c r="D296" s="1" t="str">
        <f t="shared" si="9"/>
        <v/>
      </c>
    </row>
    <row r="297" spans="1:4" x14ac:dyDescent="0.25">
      <c r="A297" s="1" t="str">
        <f>IF(CALCULO!Q297="","",CALCULO!Q297)</f>
        <v/>
      </c>
      <c r="B297" s="1" t="str">
        <f>IF(CALCULO!R297="","",CALCULO!R297)</f>
        <v/>
      </c>
      <c r="C297" s="1" t="str">
        <f t="shared" si="8"/>
        <v/>
      </c>
      <c r="D297" s="1" t="str">
        <f t="shared" si="9"/>
        <v/>
      </c>
    </row>
    <row r="298" spans="1:4" x14ac:dyDescent="0.25">
      <c r="A298" s="1" t="str">
        <f>IF(CALCULO!Q298="","",CALCULO!Q298)</f>
        <v/>
      </c>
      <c r="B298" s="1" t="str">
        <f>IF(CALCULO!R298="","",CALCULO!R298)</f>
        <v/>
      </c>
      <c r="C298" s="1" t="str">
        <f t="shared" si="8"/>
        <v/>
      </c>
      <c r="D298" s="1" t="str">
        <f t="shared" si="9"/>
        <v/>
      </c>
    </row>
    <row r="299" spans="1:4" x14ac:dyDescent="0.25">
      <c r="A299" s="1" t="str">
        <f>IF(CALCULO!Q299="","",CALCULO!Q299)</f>
        <v/>
      </c>
      <c r="B299" s="1" t="str">
        <f>IF(CALCULO!R299="","",CALCULO!R299)</f>
        <v/>
      </c>
      <c r="C299" s="1" t="str">
        <f t="shared" si="8"/>
        <v/>
      </c>
      <c r="D299" s="1" t="str">
        <f t="shared" si="9"/>
        <v/>
      </c>
    </row>
    <row r="300" spans="1:4" x14ac:dyDescent="0.25">
      <c r="A300" s="1" t="str">
        <f>IF(CALCULO!Q300="","",CALCULO!Q300)</f>
        <v/>
      </c>
      <c r="B300" s="1" t="str">
        <f>IF(CALCULO!R300="","",CALCULO!R300)</f>
        <v/>
      </c>
      <c r="C300" s="1" t="str">
        <f t="shared" si="8"/>
        <v/>
      </c>
      <c r="D300" s="1" t="str">
        <f t="shared" si="9"/>
        <v/>
      </c>
    </row>
    <row r="301" spans="1:4" x14ac:dyDescent="0.25">
      <c r="A301" s="1" t="str">
        <f>IF(CALCULO!Q301="","",CALCULO!Q301)</f>
        <v/>
      </c>
      <c r="B301" s="1" t="str">
        <f>IF(CALCULO!R301="","",CALCULO!R301)</f>
        <v/>
      </c>
      <c r="C301" s="1" t="str">
        <f t="shared" si="8"/>
        <v/>
      </c>
      <c r="D301" s="1" t="str">
        <f t="shared" si="9"/>
        <v/>
      </c>
    </row>
    <row r="302" spans="1:4" x14ac:dyDescent="0.25">
      <c r="A302" s="1" t="str">
        <f>IF(CALCULO!Q302="","",CALCULO!Q302)</f>
        <v/>
      </c>
      <c r="B302" s="1" t="str">
        <f>IF(CALCULO!R302="","",CALCULO!R302)</f>
        <v/>
      </c>
      <c r="C302" s="1" t="str">
        <f t="shared" si="8"/>
        <v/>
      </c>
      <c r="D302" s="1" t="str">
        <f t="shared" si="9"/>
        <v/>
      </c>
    </row>
    <row r="303" spans="1:4" x14ac:dyDescent="0.25">
      <c r="A303" s="1" t="str">
        <f>IF(CALCULO!Q303="","",CALCULO!Q303)</f>
        <v/>
      </c>
      <c r="B303" s="1" t="str">
        <f>IF(CALCULO!R303="","",CALCULO!R303)</f>
        <v/>
      </c>
      <c r="C303" s="1" t="str">
        <f t="shared" si="8"/>
        <v/>
      </c>
      <c r="D303" s="1" t="str">
        <f t="shared" si="9"/>
        <v/>
      </c>
    </row>
    <row r="304" spans="1:4" x14ac:dyDescent="0.25">
      <c r="A304" s="1" t="str">
        <f>IF(CALCULO!Q304="","",CALCULO!Q304)</f>
        <v/>
      </c>
      <c r="B304" s="1" t="str">
        <f>IF(CALCULO!R304="","",CALCULO!R304)</f>
        <v/>
      </c>
      <c r="C304" s="1" t="str">
        <f t="shared" si="8"/>
        <v/>
      </c>
      <c r="D304" s="1" t="str">
        <f t="shared" si="9"/>
        <v/>
      </c>
    </row>
    <row r="305" spans="1:4" x14ac:dyDescent="0.25">
      <c r="A305" s="1" t="str">
        <f>IF(CALCULO!Q305="","",CALCULO!Q305)</f>
        <v/>
      </c>
      <c r="B305" s="1" t="str">
        <f>IF(CALCULO!R305="","",CALCULO!R305)</f>
        <v/>
      </c>
      <c r="C305" s="1" t="str">
        <f t="shared" si="8"/>
        <v/>
      </c>
      <c r="D305" s="1" t="str">
        <f t="shared" si="9"/>
        <v/>
      </c>
    </row>
    <row r="306" spans="1:4" x14ac:dyDescent="0.25">
      <c r="A306" s="1" t="str">
        <f>IF(CALCULO!Q306="","",CALCULO!Q306)</f>
        <v/>
      </c>
      <c r="B306" s="1" t="str">
        <f>IF(CALCULO!R306="","",CALCULO!R306)</f>
        <v/>
      </c>
      <c r="C306" s="1" t="str">
        <f t="shared" si="8"/>
        <v/>
      </c>
      <c r="D306" s="1" t="str">
        <f t="shared" si="9"/>
        <v/>
      </c>
    </row>
    <row r="307" spans="1:4" x14ac:dyDescent="0.25">
      <c r="A307" s="1" t="str">
        <f>IF(CALCULO!Q307="","",CALCULO!Q307)</f>
        <v/>
      </c>
      <c r="B307" s="1" t="str">
        <f>IF(CALCULO!R307="","",CALCULO!R307)</f>
        <v/>
      </c>
      <c r="C307" s="1" t="str">
        <f t="shared" si="8"/>
        <v/>
      </c>
      <c r="D307" s="1" t="str">
        <f t="shared" si="9"/>
        <v/>
      </c>
    </row>
    <row r="308" spans="1:4" x14ac:dyDescent="0.25">
      <c r="A308" s="1" t="str">
        <f>IF(CALCULO!Q308="","",CALCULO!Q308)</f>
        <v/>
      </c>
      <c r="B308" s="1" t="str">
        <f>IF(CALCULO!R308="","",CALCULO!R308)</f>
        <v/>
      </c>
      <c r="C308" s="1" t="str">
        <f t="shared" si="8"/>
        <v/>
      </c>
      <c r="D308" s="1" t="str">
        <f t="shared" si="9"/>
        <v/>
      </c>
    </row>
    <row r="309" spans="1:4" x14ac:dyDescent="0.25">
      <c r="A309" s="1" t="str">
        <f>IF(CALCULO!Q309="","",CALCULO!Q309)</f>
        <v/>
      </c>
      <c r="B309" s="1" t="str">
        <f>IF(CALCULO!R309="","",CALCULO!R309)</f>
        <v/>
      </c>
      <c r="C309" s="1" t="str">
        <f t="shared" si="8"/>
        <v/>
      </c>
      <c r="D309" s="1" t="str">
        <f t="shared" si="9"/>
        <v/>
      </c>
    </row>
    <row r="310" spans="1:4" x14ac:dyDescent="0.25">
      <c r="A310" s="1" t="str">
        <f>IF(CALCULO!Q310="","",CALCULO!Q310)</f>
        <v/>
      </c>
      <c r="B310" s="1" t="str">
        <f>IF(CALCULO!R310="","",CALCULO!R310)</f>
        <v/>
      </c>
      <c r="C310" s="1" t="str">
        <f t="shared" si="8"/>
        <v/>
      </c>
      <c r="D310" s="1" t="str">
        <f t="shared" si="9"/>
        <v/>
      </c>
    </row>
    <row r="311" spans="1:4" x14ac:dyDescent="0.25">
      <c r="A311" s="1" t="str">
        <f>IF(CALCULO!Q311="","",CALCULO!Q311)</f>
        <v/>
      </c>
      <c r="B311" s="1" t="str">
        <f>IF(CALCULO!R311="","",CALCULO!R311)</f>
        <v/>
      </c>
      <c r="C311" s="1" t="str">
        <f t="shared" si="8"/>
        <v/>
      </c>
      <c r="D311" s="1" t="str">
        <f t="shared" si="9"/>
        <v/>
      </c>
    </row>
    <row r="312" spans="1:4" x14ac:dyDescent="0.25">
      <c r="A312" s="1" t="str">
        <f>IF(CALCULO!Q312="","",CALCULO!Q312)</f>
        <v/>
      </c>
      <c r="B312" s="1" t="str">
        <f>IF(CALCULO!R312="","",CALCULO!R312)</f>
        <v/>
      </c>
      <c r="C312" s="1" t="str">
        <f t="shared" si="8"/>
        <v/>
      </c>
      <c r="D312" s="1" t="str">
        <f t="shared" si="9"/>
        <v/>
      </c>
    </row>
    <row r="313" spans="1:4" x14ac:dyDescent="0.25">
      <c r="A313" s="1" t="str">
        <f>IF(CALCULO!Q313="","",CALCULO!Q313)</f>
        <v/>
      </c>
      <c r="B313" s="1" t="str">
        <f>IF(CALCULO!R313="","",CALCULO!R313)</f>
        <v/>
      </c>
      <c r="C313" s="1" t="str">
        <f t="shared" si="8"/>
        <v/>
      </c>
      <c r="D313" s="1" t="str">
        <f t="shared" si="9"/>
        <v/>
      </c>
    </row>
    <row r="314" spans="1:4" x14ac:dyDescent="0.25">
      <c r="A314" s="1" t="str">
        <f>IF(CALCULO!Q314="","",CALCULO!Q314)</f>
        <v/>
      </c>
      <c r="B314" s="1" t="str">
        <f>IF(CALCULO!R314="","",CALCULO!R314)</f>
        <v/>
      </c>
      <c r="C314" s="1" t="str">
        <f t="shared" si="8"/>
        <v/>
      </c>
      <c r="D314" s="1" t="str">
        <f t="shared" si="9"/>
        <v/>
      </c>
    </row>
    <row r="315" spans="1:4" x14ac:dyDescent="0.25">
      <c r="A315" s="1" t="str">
        <f>IF(CALCULO!Q315="","",CALCULO!Q315)</f>
        <v/>
      </c>
      <c r="B315" s="1" t="str">
        <f>IF(CALCULO!R315="","",CALCULO!R315)</f>
        <v/>
      </c>
      <c r="C315" s="1" t="str">
        <f t="shared" si="8"/>
        <v/>
      </c>
      <c r="D315" s="1" t="str">
        <f t="shared" si="9"/>
        <v/>
      </c>
    </row>
    <row r="316" spans="1:4" x14ac:dyDescent="0.25">
      <c r="A316" s="1" t="str">
        <f>IF(CALCULO!Q316="","",CALCULO!Q316)</f>
        <v/>
      </c>
      <c r="B316" s="1" t="str">
        <f>IF(CALCULO!R316="","",CALCULO!R316)</f>
        <v/>
      </c>
      <c r="C316" s="1" t="str">
        <f t="shared" si="8"/>
        <v/>
      </c>
      <c r="D316" s="1" t="str">
        <f t="shared" si="9"/>
        <v/>
      </c>
    </row>
    <row r="317" spans="1:4" x14ac:dyDescent="0.25">
      <c r="A317" s="1" t="str">
        <f>IF(CALCULO!Q317="","",CALCULO!Q317)</f>
        <v/>
      </c>
      <c r="B317" s="1" t="str">
        <f>IF(CALCULO!R317="","",CALCULO!R317)</f>
        <v/>
      </c>
      <c r="C317" s="1" t="str">
        <f t="shared" si="8"/>
        <v/>
      </c>
      <c r="D317" s="1" t="str">
        <f t="shared" si="9"/>
        <v/>
      </c>
    </row>
    <row r="318" spans="1:4" x14ac:dyDescent="0.25">
      <c r="A318" s="1" t="str">
        <f>IF(CALCULO!Q318="","",CALCULO!Q318)</f>
        <v/>
      </c>
      <c r="B318" s="1" t="str">
        <f>IF(CALCULO!R318="","",CALCULO!R318)</f>
        <v/>
      </c>
      <c r="C318" s="1" t="str">
        <f t="shared" si="8"/>
        <v/>
      </c>
      <c r="D318" s="1" t="str">
        <f t="shared" si="9"/>
        <v/>
      </c>
    </row>
    <row r="319" spans="1:4" x14ac:dyDescent="0.25">
      <c r="A319" s="1" t="str">
        <f>IF(CALCULO!Q319="","",CALCULO!Q319)</f>
        <v/>
      </c>
      <c r="B319" s="1" t="str">
        <f>IF(CALCULO!R319="","",CALCULO!R319)</f>
        <v/>
      </c>
      <c r="C319" s="1" t="str">
        <f t="shared" si="8"/>
        <v/>
      </c>
      <c r="D319" s="1" t="str">
        <f t="shared" si="9"/>
        <v/>
      </c>
    </row>
    <row r="320" spans="1:4" x14ac:dyDescent="0.25">
      <c r="A320" s="1" t="str">
        <f>IF(CALCULO!Q320="","",CALCULO!Q320)</f>
        <v/>
      </c>
      <c r="B320" s="1" t="str">
        <f>IF(CALCULO!R320="","",CALCULO!R320)</f>
        <v/>
      </c>
      <c r="C320" s="1" t="str">
        <f t="shared" si="8"/>
        <v/>
      </c>
      <c r="D320" s="1" t="str">
        <f t="shared" si="9"/>
        <v/>
      </c>
    </row>
    <row r="321" spans="1:4" x14ac:dyDescent="0.25">
      <c r="A321" s="1" t="str">
        <f>IF(CALCULO!Q321="","",CALCULO!Q321)</f>
        <v/>
      </c>
      <c r="B321" s="1" t="str">
        <f>IF(CALCULO!R321="","",CALCULO!R321)</f>
        <v/>
      </c>
      <c r="C321" s="1" t="str">
        <f t="shared" ref="C321:C347" si="10">IF(OR(A321="",B321=""),"",1)</f>
        <v/>
      </c>
      <c r="D321" s="1" t="str">
        <f t="shared" si="9"/>
        <v/>
      </c>
    </row>
    <row r="322" spans="1:4" x14ac:dyDescent="0.25">
      <c r="A322" s="1" t="str">
        <f>IF(CALCULO!Q322="","",CALCULO!Q322)</f>
        <v/>
      </c>
      <c r="B322" s="1" t="str">
        <f>IF(CALCULO!R322="","",CALCULO!R322)</f>
        <v/>
      </c>
      <c r="C322" s="1" t="str">
        <f t="shared" si="10"/>
        <v/>
      </c>
      <c r="D322" s="1" t="str">
        <f t="shared" ref="D322:D347" si="11">IF(A322&lt;&gt;"","MS10","")</f>
        <v/>
      </c>
    </row>
    <row r="323" spans="1:4" x14ac:dyDescent="0.25">
      <c r="A323" s="1" t="str">
        <f>IF(CALCULO!Q323="","",CALCULO!Q323)</f>
        <v/>
      </c>
      <c r="B323" s="1" t="str">
        <f>IF(CALCULO!R323="","",CALCULO!R323)</f>
        <v/>
      </c>
      <c r="C323" s="1" t="str">
        <f t="shared" si="10"/>
        <v/>
      </c>
      <c r="D323" s="1" t="str">
        <f t="shared" si="11"/>
        <v/>
      </c>
    </row>
    <row r="324" spans="1:4" x14ac:dyDescent="0.25">
      <c r="A324" s="1" t="str">
        <f>IF(CALCULO!Q324="","",CALCULO!Q324)</f>
        <v/>
      </c>
      <c r="B324" s="1" t="str">
        <f>IF(CALCULO!R324="","",CALCULO!R324)</f>
        <v/>
      </c>
      <c r="C324" s="1" t="str">
        <f t="shared" si="10"/>
        <v/>
      </c>
      <c r="D324" s="1" t="str">
        <f t="shared" si="11"/>
        <v/>
      </c>
    </row>
    <row r="325" spans="1:4" x14ac:dyDescent="0.25">
      <c r="A325" s="1" t="str">
        <f>IF(CALCULO!Q325="","",CALCULO!Q325)</f>
        <v/>
      </c>
      <c r="B325" s="1" t="str">
        <f>IF(CALCULO!R325="","",CALCULO!R325)</f>
        <v/>
      </c>
      <c r="C325" s="1" t="str">
        <f t="shared" si="10"/>
        <v/>
      </c>
      <c r="D325" s="1" t="str">
        <f t="shared" si="11"/>
        <v/>
      </c>
    </row>
    <row r="326" spans="1:4" x14ac:dyDescent="0.25">
      <c r="A326" s="1" t="str">
        <f>IF(CALCULO!Q326="","",CALCULO!Q326)</f>
        <v/>
      </c>
      <c r="B326" s="1" t="str">
        <f>IF(CALCULO!R326="","",CALCULO!R326)</f>
        <v/>
      </c>
      <c r="C326" s="1" t="str">
        <f t="shared" si="10"/>
        <v/>
      </c>
      <c r="D326" s="1" t="str">
        <f t="shared" si="11"/>
        <v/>
      </c>
    </row>
    <row r="327" spans="1:4" x14ac:dyDescent="0.25">
      <c r="A327" s="1" t="str">
        <f>IF(CALCULO!Q327="","",CALCULO!Q327)</f>
        <v/>
      </c>
      <c r="B327" s="1" t="str">
        <f>IF(CALCULO!R327="","",CALCULO!R327)</f>
        <v/>
      </c>
      <c r="C327" s="1" t="str">
        <f t="shared" si="10"/>
        <v/>
      </c>
      <c r="D327" s="1" t="str">
        <f t="shared" si="11"/>
        <v/>
      </c>
    </row>
    <row r="328" spans="1:4" x14ac:dyDescent="0.25">
      <c r="A328" s="1" t="str">
        <f>IF(CALCULO!Q328="","",CALCULO!Q328)</f>
        <v/>
      </c>
      <c r="B328" s="1" t="str">
        <f>IF(CALCULO!R328="","",CALCULO!R328)</f>
        <v/>
      </c>
      <c r="C328" s="1" t="str">
        <f t="shared" si="10"/>
        <v/>
      </c>
      <c r="D328" s="1" t="str">
        <f t="shared" si="11"/>
        <v/>
      </c>
    </row>
    <row r="329" spans="1:4" x14ac:dyDescent="0.25">
      <c r="A329" s="1" t="str">
        <f>IF(CALCULO!Q329="","",CALCULO!Q329)</f>
        <v/>
      </c>
      <c r="B329" s="1" t="str">
        <f>IF(CALCULO!R329="","",CALCULO!R329)</f>
        <v/>
      </c>
      <c r="C329" s="1" t="str">
        <f t="shared" si="10"/>
        <v/>
      </c>
      <c r="D329" s="1" t="str">
        <f t="shared" si="11"/>
        <v/>
      </c>
    </row>
    <row r="330" spans="1:4" x14ac:dyDescent="0.25">
      <c r="A330" s="1" t="str">
        <f>IF(CALCULO!Q330="","",CALCULO!Q330)</f>
        <v/>
      </c>
      <c r="B330" s="1" t="str">
        <f>IF(CALCULO!R330="","",CALCULO!R330)</f>
        <v/>
      </c>
      <c r="C330" s="1" t="str">
        <f t="shared" si="10"/>
        <v/>
      </c>
      <c r="D330" s="1" t="str">
        <f t="shared" si="11"/>
        <v/>
      </c>
    </row>
    <row r="331" spans="1:4" x14ac:dyDescent="0.25">
      <c r="A331" s="1" t="str">
        <f>IF(CALCULO!Q331="","",CALCULO!Q331)</f>
        <v/>
      </c>
      <c r="B331" s="1" t="str">
        <f>IF(CALCULO!R331="","",CALCULO!R331)</f>
        <v/>
      </c>
      <c r="C331" s="1" t="str">
        <f t="shared" si="10"/>
        <v/>
      </c>
      <c r="D331" s="1" t="str">
        <f t="shared" si="11"/>
        <v/>
      </c>
    </row>
    <row r="332" spans="1:4" x14ac:dyDescent="0.25">
      <c r="A332" s="1" t="str">
        <f>IF(CALCULO!Q332="","",CALCULO!Q332)</f>
        <v/>
      </c>
      <c r="B332" s="1" t="str">
        <f>IF(CALCULO!R332="","",CALCULO!R332)</f>
        <v/>
      </c>
      <c r="C332" s="1" t="str">
        <f t="shared" si="10"/>
        <v/>
      </c>
      <c r="D332" s="1" t="str">
        <f t="shared" si="11"/>
        <v/>
      </c>
    </row>
    <row r="333" spans="1:4" x14ac:dyDescent="0.25">
      <c r="A333" s="1" t="str">
        <f>IF(CALCULO!Q333="","",CALCULO!Q333)</f>
        <v/>
      </c>
      <c r="B333" s="1" t="str">
        <f>IF(CALCULO!R333="","",CALCULO!R333)</f>
        <v/>
      </c>
      <c r="C333" s="1" t="str">
        <f t="shared" si="10"/>
        <v/>
      </c>
      <c r="D333" s="1" t="str">
        <f t="shared" si="11"/>
        <v/>
      </c>
    </row>
    <row r="334" spans="1:4" x14ac:dyDescent="0.25">
      <c r="A334" s="1" t="str">
        <f>IF(CALCULO!Q334="","",CALCULO!Q334)</f>
        <v/>
      </c>
      <c r="B334" s="1" t="str">
        <f>IF(CALCULO!R334="","",CALCULO!R334)</f>
        <v/>
      </c>
      <c r="C334" s="1" t="str">
        <f t="shared" si="10"/>
        <v/>
      </c>
      <c r="D334" s="1" t="str">
        <f t="shared" si="11"/>
        <v/>
      </c>
    </row>
    <row r="335" spans="1:4" x14ac:dyDescent="0.25">
      <c r="A335" s="1" t="str">
        <f>IF(CALCULO!Q335="","",CALCULO!Q335)</f>
        <v/>
      </c>
      <c r="B335" s="1" t="str">
        <f>IF(CALCULO!R335="","",CALCULO!R335)</f>
        <v/>
      </c>
      <c r="C335" s="1" t="str">
        <f t="shared" si="10"/>
        <v/>
      </c>
      <c r="D335" s="1" t="str">
        <f t="shared" si="11"/>
        <v/>
      </c>
    </row>
    <row r="336" spans="1:4" x14ac:dyDescent="0.25">
      <c r="A336" s="1" t="str">
        <f>IF(CALCULO!Q336="","",CALCULO!Q336)</f>
        <v/>
      </c>
      <c r="B336" s="1" t="str">
        <f>IF(CALCULO!R336="","",CALCULO!R336)</f>
        <v/>
      </c>
      <c r="C336" s="1" t="str">
        <f t="shared" si="10"/>
        <v/>
      </c>
      <c r="D336" s="1" t="str">
        <f t="shared" si="11"/>
        <v/>
      </c>
    </row>
    <row r="337" spans="1:4" x14ac:dyDescent="0.25">
      <c r="A337" s="1" t="str">
        <f>IF(CALCULO!Q337="","",CALCULO!Q337)</f>
        <v/>
      </c>
      <c r="B337" s="1" t="str">
        <f>IF(CALCULO!R337="","",CALCULO!R337)</f>
        <v/>
      </c>
      <c r="C337" s="1" t="str">
        <f t="shared" si="10"/>
        <v/>
      </c>
      <c r="D337" s="1" t="str">
        <f t="shared" si="11"/>
        <v/>
      </c>
    </row>
    <row r="338" spans="1:4" x14ac:dyDescent="0.25">
      <c r="A338" s="1" t="str">
        <f>IF(CALCULO!Q338="","",CALCULO!Q338)</f>
        <v/>
      </c>
      <c r="B338" s="1" t="str">
        <f>IF(CALCULO!R338="","",CALCULO!R338)</f>
        <v/>
      </c>
      <c r="C338" s="1" t="str">
        <f t="shared" si="10"/>
        <v/>
      </c>
      <c r="D338" s="1" t="str">
        <f t="shared" si="11"/>
        <v/>
      </c>
    </row>
    <row r="339" spans="1:4" x14ac:dyDescent="0.25">
      <c r="A339" s="1" t="str">
        <f>IF(CALCULO!Q339="","",CALCULO!Q339)</f>
        <v/>
      </c>
      <c r="B339" s="1" t="str">
        <f>IF(CALCULO!R339="","",CALCULO!R339)</f>
        <v/>
      </c>
      <c r="C339" s="1" t="str">
        <f t="shared" si="10"/>
        <v/>
      </c>
      <c r="D339" s="1" t="str">
        <f t="shared" si="11"/>
        <v/>
      </c>
    </row>
    <row r="340" spans="1:4" x14ac:dyDescent="0.25">
      <c r="A340" s="1" t="str">
        <f>IF(CALCULO!Q340="","",CALCULO!Q340)</f>
        <v/>
      </c>
      <c r="B340" s="1" t="str">
        <f>IF(CALCULO!R340="","",CALCULO!R340)</f>
        <v/>
      </c>
      <c r="C340" s="1" t="str">
        <f t="shared" si="10"/>
        <v/>
      </c>
      <c r="D340" s="1" t="str">
        <f t="shared" si="11"/>
        <v/>
      </c>
    </row>
    <row r="341" spans="1:4" x14ac:dyDescent="0.25">
      <c r="A341" s="1" t="str">
        <f>IF(CALCULO!Q341="","",CALCULO!Q341)</f>
        <v/>
      </c>
      <c r="B341" s="1" t="str">
        <f>IF(CALCULO!R341="","",CALCULO!R341)</f>
        <v/>
      </c>
      <c r="C341" s="1" t="str">
        <f t="shared" si="10"/>
        <v/>
      </c>
      <c r="D341" s="1" t="str">
        <f t="shared" si="11"/>
        <v/>
      </c>
    </row>
    <row r="342" spans="1:4" x14ac:dyDescent="0.25">
      <c r="A342" s="1" t="str">
        <f>IF(CALCULO!Q342="","",CALCULO!Q342)</f>
        <v/>
      </c>
      <c r="B342" s="1" t="str">
        <f>IF(CALCULO!R342="","",CALCULO!R342)</f>
        <v/>
      </c>
      <c r="C342" s="1" t="str">
        <f t="shared" si="10"/>
        <v/>
      </c>
      <c r="D342" s="1" t="str">
        <f t="shared" si="11"/>
        <v/>
      </c>
    </row>
    <row r="343" spans="1:4" x14ac:dyDescent="0.25">
      <c r="A343" s="1" t="str">
        <f>IF(CALCULO!Q343="","",CALCULO!Q343)</f>
        <v/>
      </c>
      <c r="B343" s="1" t="str">
        <f>IF(CALCULO!R343="","",CALCULO!R343)</f>
        <v/>
      </c>
      <c r="C343" s="1" t="str">
        <f t="shared" si="10"/>
        <v/>
      </c>
      <c r="D343" s="1" t="str">
        <f t="shared" si="11"/>
        <v/>
      </c>
    </row>
    <row r="344" spans="1:4" x14ac:dyDescent="0.25">
      <c r="A344" s="1" t="str">
        <f>IF(CALCULO!Q344="","",CALCULO!Q344)</f>
        <v/>
      </c>
      <c r="B344" s="1" t="str">
        <f>IF(CALCULO!R344="","",CALCULO!R344)</f>
        <v/>
      </c>
      <c r="C344" s="1" t="str">
        <f t="shared" si="10"/>
        <v/>
      </c>
      <c r="D344" s="1" t="str">
        <f t="shared" si="11"/>
        <v/>
      </c>
    </row>
    <row r="345" spans="1:4" x14ac:dyDescent="0.25">
      <c r="A345" s="1" t="str">
        <f>IF(CALCULO!Q345="","",CALCULO!Q345)</f>
        <v/>
      </c>
      <c r="B345" s="1" t="str">
        <f>IF(CALCULO!R345="","",CALCULO!R345)</f>
        <v/>
      </c>
      <c r="C345" s="1" t="str">
        <f t="shared" si="10"/>
        <v/>
      </c>
      <c r="D345" s="1" t="str">
        <f t="shared" si="11"/>
        <v/>
      </c>
    </row>
    <row r="346" spans="1:4" x14ac:dyDescent="0.25">
      <c r="A346" s="1" t="str">
        <f>IF(CALCULO!Q346="","",CALCULO!Q346)</f>
        <v/>
      </c>
      <c r="B346" s="1" t="str">
        <f>IF(CALCULO!R346="","",CALCULO!R346)</f>
        <v/>
      </c>
      <c r="C346" s="1" t="str">
        <f t="shared" si="10"/>
        <v/>
      </c>
      <c r="D346" s="1" t="str">
        <f t="shared" si="11"/>
        <v/>
      </c>
    </row>
    <row r="347" spans="1:4" x14ac:dyDescent="0.25">
      <c r="A347" s="1" t="str">
        <f>IF(CALCULO!Q347="","",CALCULO!Q347)</f>
        <v/>
      </c>
      <c r="B347" s="1" t="str">
        <f>IF(CALCULO!R347="","",CALCULO!R347)</f>
        <v/>
      </c>
      <c r="C347" s="1" t="str">
        <f t="shared" si="10"/>
        <v/>
      </c>
      <c r="D347" s="1" t="str">
        <f t="shared" si="11"/>
        <v/>
      </c>
    </row>
    <row r="348" spans="1:4" x14ac:dyDescent="0.25">
      <c r="A348" s="1"/>
      <c r="B348" s="1"/>
      <c r="C348" s="1"/>
      <c r="D348" s="1"/>
    </row>
    <row r="349" spans="1:4" x14ac:dyDescent="0.25">
      <c r="A349" s="1"/>
      <c r="B349" s="1"/>
      <c r="C349" s="1"/>
      <c r="D349" s="1"/>
    </row>
    <row r="350" spans="1:4" x14ac:dyDescent="0.25">
      <c r="A350" s="1"/>
      <c r="B350" s="1"/>
      <c r="C350" s="1"/>
      <c r="D350" s="1"/>
    </row>
    <row r="351" spans="1:4" x14ac:dyDescent="0.25">
      <c r="A351" s="1"/>
      <c r="B351" s="1"/>
      <c r="C351" s="1"/>
      <c r="D351" s="1"/>
    </row>
    <row r="352" spans="1:4" x14ac:dyDescent="0.25">
      <c r="A352" s="1"/>
      <c r="B352" s="1"/>
      <c r="C352" s="1"/>
      <c r="D352" s="1"/>
    </row>
    <row r="353" spans="1:4" x14ac:dyDescent="0.25">
      <c r="A353" s="1"/>
      <c r="B353" s="1"/>
      <c r="C353" s="1"/>
      <c r="D353" s="1"/>
    </row>
    <row r="354" spans="1:4" x14ac:dyDescent="0.25">
      <c r="A354" s="1"/>
      <c r="B354" s="1"/>
      <c r="C354" s="1"/>
      <c r="D354" s="1"/>
    </row>
    <row r="355" spans="1:4" x14ac:dyDescent="0.25">
      <c r="A355" s="1"/>
      <c r="B355" s="1"/>
      <c r="C355" s="1"/>
      <c r="D355" s="1"/>
    </row>
    <row r="356" spans="1:4" x14ac:dyDescent="0.25">
      <c r="A356" s="1"/>
      <c r="B356" s="1"/>
      <c r="C356" s="1"/>
      <c r="D356" s="1"/>
    </row>
    <row r="357" spans="1:4" x14ac:dyDescent="0.25">
      <c r="A357" s="1"/>
      <c r="B357" s="1"/>
      <c r="C357" s="1"/>
      <c r="D357" s="1"/>
    </row>
    <row r="358" spans="1:4" x14ac:dyDescent="0.25">
      <c r="A358" s="1"/>
      <c r="B358" s="1"/>
      <c r="C358" s="1"/>
      <c r="D358" s="1"/>
    </row>
    <row r="359" spans="1:4" x14ac:dyDescent="0.25">
      <c r="A359" s="1"/>
      <c r="B359" s="1"/>
      <c r="C359" s="1"/>
      <c r="D359" s="1"/>
    </row>
    <row r="360" spans="1:4" x14ac:dyDescent="0.25">
      <c r="A360" s="1"/>
      <c r="B360" s="1"/>
      <c r="C360" s="1"/>
      <c r="D360" s="1"/>
    </row>
    <row r="361" spans="1:4" x14ac:dyDescent="0.25">
      <c r="A361" s="1"/>
      <c r="B361" s="1"/>
      <c r="C361" s="1"/>
      <c r="D361" s="1"/>
    </row>
    <row r="362" spans="1:4" x14ac:dyDescent="0.25">
      <c r="A362" s="1"/>
      <c r="B362" s="1"/>
      <c r="C362" s="1"/>
      <c r="D362" s="1"/>
    </row>
    <row r="363" spans="1:4" x14ac:dyDescent="0.25">
      <c r="A363" s="1"/>
      <c r="B363" s="1"/>
      <c r="C363" s="1"/>
      <c r="D363" s="1"/>
    </row>
    <row r="364" spans="1:4" x14ac:dyDescent="0.25">
      <c r="A364" s="1"/>
      <c r="B364" s="1"/>
      <c r="C364" s="1"/>
      <c r="D364" s="1"/>
    </row>
    <row r="365" spans="1:4" x14ac:dyDescent="0.25">
      <c r="A365" s="1"/>
      <c r="B365" s="1"/>
      <c r="C365" s="1"/>
      <c r="D365" s="1"/>
    </row>
    <row r="366" spans="1:4" x14ac:dyDescent="0.25">
      <c r="A366" s="1"/>
      <c r="B366" s="1"/>
      <c r="C366" s="1"/>
      <c r="D366" s="1"/>
    </row>
    <row r="367" spans="1:4" x14ac:dyDescent="0.25">
      <c r="A367" s="1"/>
      <c r="B367" s="1"/>
      <c r="C367" s="1"/>
      <c r="D367" s="1"/>
    </row>
    <row r="368" spans="1:4" x14ac:dyDescent="0.25">
      <c r="A368" s="1"/>
      <c r="B368" s="1"/>
      <c r="C368" s="1"/>
      <c r="D368" s="1"/>
    </row>
    <row r="369" spans="1:4" x14ac:dyDescent="0.25">
      <c r="A369" s="1"/>
      <c r="B369" s="1"/>
      <c r="C369" s="1"/>
      <c r="D369" s="1"/>
    </row>
    <row r="370" spans="1:4" x14ac:dyDescent="0.25">
      <c r="A370" s="1"/>
      <c r="B370" s="1"/>
      <c r="C370" s="1"/>
      <c r="D370" s="1"/>
    </row>
    <row r="371" spans="1:4" x14ac:dyDescent="0.25">
      <c r="A371" s="1"/>
      <c r="B371" s="1"/>
      <c r="C371" s="1"/>
      <c r="D371" s="1"/>
    </row>
    <row r="372" spans="1:4" x14ac:dyDescent="0.25">
      <c r="A372" s="1"/>
      <c r="B372" s="1"/>
      <c r="C372" s="1"/>
      <c r="D372" s="1"/>
    </row>
    <row r="373" spans="1:4" x14ac:dyDescent="0.25">
      <c r="A373" s="1"/>
      <c r="B373" s="1"/>
      <c r="C373" s="1"/>
      <c r="D373" s="1"/>
    </row>
    <row r="374" spans="1:4" x14ac:dyDescent="0.25">
      <c r="A374" s="1"/>
      <c r="B374" s="1"/>
      <c r="C374" s="1"/>
      <c r="D374" s="1"/>
    </row>
    <row r="375" spans="1:4" x14ac:dyDescent="0.25">
      <c r="A375" s="1"/>
      <c r="B375" s="1"/>
      <c r="C375" s="1"/>
      <c r="D375" s="1"/>
    </row>
    <row r="376" spans="1:4" x14ac:dyDescent="0.25">
      <c r="A376" s="1"/>
      <c r="B376" s="1"/>
      <c r="C376" s="1"/>
      <c r="D376" s="1"/>
    </row>
    <row r="377" spans="1:4" x14ac:dyDescent="0.25">
      <c r="A377" s="1"/>
      <c r="B377" s="1"/>
      <c r="C377" s="1"/>
      <c r="D377" s="1"/>
    </row>
  </sheetData>
  <sheetProtection algorithmName="SHA-512" hashValue="Wn8z2da4vwpCz501AC/wMhUJM+zceyPJ/r45X/ZQJVwHGS7/FtWO08hj4GAvlL1ZfpDUrpuQMl9QGJxkfsEipQ==" saltValue="W6dyGQ6hLGoFZUsApfgmJ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CALCULO</vt:lpstr>
      <vt:lpstr>PUNTOS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Vera</dc:creator>
  <cp:lastModifiedBy>Leandro Vera</cp:lastModifiedBy>
  <dcterms:created xsi:type="dcterms:W3CDTF">2023-03-03T14:44:12Z</dcterms:created>
  <dcterms:modified xsi:type="dcterms:W3CDTF">2024-08-07T16:45:04Z</dcterms:modified>
</cp:coreProperties>
</file>